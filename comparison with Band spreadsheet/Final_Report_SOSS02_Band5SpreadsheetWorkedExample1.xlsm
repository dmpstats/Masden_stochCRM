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93bacb26d0e7a27/Documents/GitHub/Masden_stochCRM/comparison with Band spreadsheet/"/>
    </mc:Choice>
  </mc:AlternateContent>
  <xr:revisionPtr revIDLastSave="17" documentId="8_{4408095C-41BE-4CB7-BEDE-B6F44B2F391D}" xr6:coauthVersionLast="45" xr6:coauthVersionMax="45" xr10:uidLastSave="{F4E5C897-5C17-422D-A723-153D826004DD}"/>
  <bookViews>
    <workbookView xWindow="-96" yWindow="-96" windowWidth="23232" windowHeight="12552" tabRatio="694" activeTab="3" xr2:uid="{00000000-000D-0000-FFFF-FFFF00000000}"/>
  </bookViews>
  <sheets>
    <sheet name="Input data" sheetId="5" r:id="rId1"/>
    <sheet name="Overall collision risk" sheetId="1" r:id="rId2"/>
    <sheet name="Single transit collision risk" sheetId="2" r:id="rId3"/>
    <sheet name="Extended" sheetId="7" r:id="rId4"/>
    <sheet name="Flightheight" sheetId="8" r:id="rId5"/>
    <sheet name="Daylight and night hours" sheetId="4" r:id="rId6"/>
    <sheet name="Large array correction" sheetId="6" r:id="rId7"/>
    <sheet name="Sheet1" sheetId="9" r:id="rId8"/>
  </sheets>
  <functionGroups builtInGroupCount="19"/>
  <definedNames>
    <definedName name="banddown">Extended!$G$26</definedName>
    <definedName name="bandup">Extended!$F$26</definedName>
    <definedName name="birdlength">Extended!$B$14</definedName>
    <definedName name="blades" localSheetId="3">Extended!$B$4</definedName>
    <definedName name="chord">Extended!$B$7</definedName>
    <definedName name="coverC" localSheetId="3">Extended!$C$4:$D$24</definedName>
    <definedName name="flight_type">Extended!$B$17</definedName>
    <definedName name="flightheightdata">Flightheight!$A$9:$B$158</definedName>
    <definedName name="hubheight">Extended!$B$9</definedName>
    <definedName name="Npoints">Flightheight!$B$7</definedName>
    <definedName name="offset">Extended!$B$10</definedName>
    <definedName name="omega">Extended!$B$6</definedName>
    <definedName name="output_option">'Overall collision risk'!$C$39</definedName>
    <definedName name="pitch">Extended!$B$8</definedName>
    <definedName name="radius">Extended!$B$5</definedName>
    <definedName name="speed">Extended!$B$16</definedName>
    <definedName name="wingspan">Extended!$B$15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1" l="1"/>
  <c r="B10" i="7" l="1"/>
  <c r="E14" i="6" l="1"/>
  <c r="D14" i="6"/>
  <c r="C14" i="6"/>
  <c r="B14" i="6"/>
  <c r="G9" i="6"/>
  <c r="B9" i="6"/>
  <c r="B8" i="6"/>
  <c r="B7" i="6"/>
  <c r="B12" i="6" s="1"/>
  <c r="Q18" i="4"/>
  <c r="P18" i="4"/>
  <c r="O18" i="4"/>
  <c r="N18" i="4"/>
  <c r="M18" i="4"/>
  <c r="L18" i="4"/>
  <c r="K18" i="4"/>
  <c r="J18" i="4"/>
  <c r="I18" i="4"/>
  <c r="H18" i="4"/>
  <c r="G18" i="4"/>
  <c r="F18" i="4"/>
  <c r="D10" i="4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A10" i="4"/>
  <c r="A11" i="4" s="1"/>
  <c r="B9" i="4"/>
  <c r="B4" i="4"/>
  <c r="J3" i="8"/>
  <c r="L50" i="7"/>
  <c r="N50" i="7" s="1"/>
  <c r="M46" i="7"/>
  <c r="B42" i="7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38" i="7"/>
  <c r="F27" i="7"/>
  <c r="G27" i="7" s="1"/>
  <c r="B17" i="7"/>
  <c r="B16" i="7"/>
  <c r="B15" i="7"/>
  <c r="B14" i="7"/>
  <c r="B13" i="7"/>
  <c r="B9" i="7"/>
  <c r="B8" i="7"/>
  <c r="B7" i="7"/>
  <c r="B6" i="7"/>
  <c r="C6" i="7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B5" i="7"/>
  <c r="B4" i="7"/>
  <c r="B21" i="2"/>
  <c r="B22" i="2" s="1"/>
  <c r="B20" i="2"/>
  <c r="B19" i="2"/>
  <c r="B18" i="2"/>
  <c r="E39" i="2" s="1"/>
  <c r="B17" i="2"/>
  <c r="C17" i="2" s="1"/>
  <c r="B16" i="2"/>
  <c r="D15" i="2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B15" i="2"/>
  <c r="B14" i="2"/>
  <c r="B12" i="2"/>
  <c r="C12" i="2" s="1"/>
  <c r="B11" i="2"/>
  <c r="B10" i="2"/>
  <c r="D49" i="1"/>
  <c r="D48" i="1"/>
  <c r="D47" i="1"/>
  <c r="D46" i="1"/>
  <c r="D44" i="1"/>
  <c r="D43" i="1"/>
  <c r="D42" i="1"/>
  <c r="D41" i="1"/>
  <c r="D32" i="1"/>
  <c r="P19" i="1"/>
  <c r="O19" i="1"/>
  <c r="N19" i="1"/>
  <c r="M19" i="1"/>
  <c r="L19" i="1"/>
  <c r="K19" i="1"/>
  <c r="J19" i="1"/>
  <c r="I19" i="1"/>
  <c r="H19" i="1"/>
  <c r="G19" i="1"/>
  <c r="F19" i="1"/>
  <c r="E19" i="1"/>
  <c r="P16" i="1"/>
  <c r="O16" i="1"/>
  <c r="N16" i="1"/>
  <c r="M16" i="1"/>
  <c r="L16" i="1"/>
  <c r="K16" i="1"/>
  <c r="J16" i="1"/>
  <c r="I16" i="1"/>
  <c r="H16" i="1"/>
  <c r="G16" i="1"/>
  <c r="F16" i="1"/>
  <c r="E16" i="1"/>
  <c r="D13" i="1"/>
  <c r="D12" i="1"/>
  <c r="D11" i="1"/>
  <c r="D10" i="1"/>
  <c r="D8" i="1"/>
  <c r="D6" i="1"/>
  <c r="D5" i="1"/>
  <c r="F1" i="5"/>
  <c r="P9" i="7"/>
  <c r="E48" i="7"/>
  <c r="E63" i="7"/>
  <c r="F9" i="7"/>
  <c r="D64" i="7"/>
  <c r="F12" i="7"/>
  <c r="G8" i="7"/>
  <c r="D45" i="7"/>
  <c r="F18" i="7"/>
  <c r="E47" i="7"/>
  <c r="D59" i="7"/>
  <c r="D77" i="7"/>
  <c r="E70" i="7"/>
  <c r="D51" i="7"/>
  <c r="E65" i="7"/>
  <c r="E53" i="7"/>
  <c r="D53" i="7"/>
  <c r="E59" i="7"/>
  <c r="G12" i="7"/>
  <c r="G11" i="7"/>
  <c r="G18" i="7"/>
  <c r="F14" i="7"/>
  <c r="E49" i="7"/>
  <c r="D48" i="7"/>
  <c r="F21" i="7"/>
  <c r="G7" i="7"/>
  <c r="D52" i="7"/>
  <c r="D70" i="7"/>
  <c r="D75" i="7"/>
  <c r="F20" i="7"/>
  <c r="D68" i="7"/>
  <c r="D80" i="7"/>
  <c r="D65" i="7"/>
  <c r="G21" i="7"/>
  <c r="F19" i="7"/>
  <c r="E77" i="7"/>
  <c r="F10" i="7"/>
  <c r="D76" i="7"/>
  <c r="G22" i="7"/>
  <c r="D43" i="7"/>
  <c r="G16" i="7"/>
  <c r="F17" i="7"/>
  <c r="D81" i="7"/>
  <c r="F24" i="7"/>
  <c r="E69" i="7"/>
  <c r="D79" i="7"/>
  <c r="D44" i="7"/>
  <c r="G14" i="7"/>
  <c r="E68" i="7"/>
  <c r="L49" i="7"/>
  <c r="D62" i="7"/>
  <c r="D61" i="7"/>
  <c r="F8" i="7"/>
  <c r="E56" i="7"/>
  <c r="D57" i="7"/>
  <c r="D54" i="7"/>
  <c r="F11" i="7"/>
  <c r="E55" i="7"/>
  <c r="F6" i="7"/>
  <c r="D74" i="7"/>
  <c r="G19" i="7"/>
  <c r="E76" i="7"/>
  <c r="M47" i="7"/>
  <c r="D56" i="7"/>
  <c r="G17" i="7"/>
  <c r="E62" i="7"/>
  <c r="D58" i="7"/>
  <c r="D72" i="7"/>
  <c r="G6" i="7"/>
  <c r="E60" i="7"/>
  <c r="F13" i="7"/>
  <c r="E66" i="7"/>
  <c r="E44" i="7"/>
  <c r="E43" i="7"/>
  <c r="E72" i="7"/>
  <c r="G15" i="7"/>
  <c r="G5" i="7"/>
  <c r="D73" i="7"/>
  <c r="D47" i="7"/>
  <c r="E80" i="7"/>
  <c r="G10" i="7"/>
  <c r="E64" i="7"/>
  <c r="D66" i="7"/>
  <c r="D78" i="7"/>
  <c r="D63" i="7"/>
  <c r="E57" i="7"/>
  <c r="G23" i="7"/>
  <c r="D71" i="7"/>
  <c r="E54" i="7"/>
  <c r="D69" i="7"/>
  <c r="D50" i="7"/>
  <c r="D49" i="7"/>
  <c r="G24" i="7"/>
  <c r="E58" i="7"/>
  <c r="E52" i="7"/>
  <c r="F16" i="7"/>
  <c r="F5" i="7"/>
  <c r="D55" i="7"/>
  <c r="E45" i="7"/>
  <c r="E74" i="7"/>
  <c r="G20" i="7"/>
  <c r="E79" i="7"/>
  <c r="E46" i="7"/>
  <c r="E73" i="7"/>
  <c r="E50" i="7"/>
  <c r="D42" i="7"/>
  <c r="N49" i="7"/>
  <c r="E42" i="7"/>
  <c r="D67" i="7"/>
  <c r="G13" i="7"/>
  <c r="E81" i="7"/>
  <c r="D41" i="7"/>
  <c r="E78" i="7"/>
  <c r="E41" i="7"/>
  <c r="E71" i="7"/>
  <c r="F7" i="7"/>
  <c r="E51" i="7"/>
  <c r="E67" i="7"/>
  <c r="D46" i="7"/>
  <c r="F22" i="7"/>
  <c r="F15" i="7"/>
  <c r="F23" i="7"/>
  <c r="E75" i="7"/>
  <c r="G9" i="7"/>
  <c r="E61" i="7"/>
  <c r="D60" i="7"/>
  <c r="C45" i="7"/>
  <c r="C47" i="7"/>
  <c r="D14" i="1" l="1"/>
  <c r="B25" i="2"/>
  <c r="B10" i="4"/>
  <c r="C10" i="4" s="1"/>
  <c r="B11" i="4"/>
  <c r="C11" i="4" s="1"/>
  <c r="A12" i="4"/>
  <c r="R16" i="1"/>
  <c r="B10" i="6" s="1"/>
  <c r="F15" i="2"/>
  <c r="F34" i="2"/>
  <c r="C9" i="4"/>
  <c r="F20" i="2"/>
  <c r="J20" i="2" s="1"/>
  <c r="K20" i="2" s="1"/>
  <c r="F23" i="2"/>
  <c r="F19" i="2"/>
  <c r="F25" i="2"/>
  <c r="F27" i="2"/>
  <c r="J27" i="2" s="1"/>
  <c r="K27" i="2" s="1"/>
  <c r="F29" i="2"/>
  <c r="F31" i="2"/>
  <c r="F33" i="2"/>
  <c r="F18" i="2"/>
  <c r="J18" i="2" s="1"/>
  <c r="K18" i="2" s="1"/>
  <c r="F22" i="2"/>
  <c r="F24" i="2"/>
  <c r="D39" i="2"/>
  <c r="F16" i="2"/>
  <c r="G16" i="2" s="1"/>
  <c r="H16" i="2" s="1"/>
  <c r="F17" i="2"/>
  <c r="F21" i="2"/>
  <c r="F26" i="2"/>
  <c r="F28" i="2"/>
  <c r="G28" i="2" s="1"/>
  <c r="H28" i="2" s="1"/>
  <c r="F30" i="2"/>
  <c r="F32" i="2"/>
  <c r="G26" i="7"/>
  <c r="F47" i="7"/>
  <c r="G47" i="7"/>
  <c r="D34" i="1"/>
  <c r="G45" i="7"/>
  <c r="F45" i="7"/>
  <c r="F26" i="7"/>
  <c r="M51" i="7"/>
  <c r="D35" i="1" s="1"/>
  <c r="C51" i="7"/>
  <c r="C56" i="7"/>
  <c r="C67" i="7"/>
  <c r="C76" i="7"/>
  <c r="C69" i="7"/>
  <c r="C74" i="7"/>
  <c r="C64" i="7"/>
  <c r="C71" i="7"/>
  <c r="C52" i="7"/>
  <c r="C44" i="7"/>
  <c r="C81" i="7"/>
  <c r="C48" i="7"/>
  <c r="C57" i="7"/>
  <c r="C55" i="7"/>
  <c r="C60" i="7"/>
  <c r="C46" i="7"/>
  <c r="C42" i="7"/>
  <c r="C65" i="7"/>
  <c r="C75" i="7"/>
  <c r="C59" i="7"/>
  <c r="C50" i="7"/>
  <c r="C53" i="7"/>
  <c r="C61" i="7"/>
  <c r="C66" i="7"/>
  <c r="C43" i="7"/>
  <c r="C63" i="7"/>
  <c r="C54" i="7"/>
  <c r="C80" i="7"/>
  <c r="C62" i="7"/>
  <c r="C79" i="7"/>
  <c r="C58" i="7"/>
  <c r="C49" i="7"/>
  <c r="C68" i="7"/>
  <c r="C72" i="7"/>
  <c r="C77" i="7"/>
  <c r="C78" i="7"/>
  <c r="C73" i="7"/>
  <c r="C41" i="7"/>
  <c r="C70" i="7"/>
  <c r="G69" i="7" l="1"/>
  <c r="F69" i="7"/>
  <c r="G51" i="7"/>
  <c r="F51" i="7"/>
  <c r="F60" i="7"/>
  <c r="G60" i="7"/>
  <c r="G57" i="7"/>
  <c r="F57" i="7"/>
  <c r="G54" i="7"/>
  <c r="F54" i="7"/>
  <c r="G61" i="7"/>
  <c r="F61" i="7"/>
  <c r="G81" i="7"/>
  <c r="F81" i="7"/>
  <c r="F46" i="7"/>
  <c r="G46" i="7"/>
  <c r="G68" i="7"/>
  <c r="F68" i="7"/>
  <c r="G58" i="7"/>
  <c r="F58" i="7"/>
  <c r="G59" i="7"/>
  <c r="F59" i="7"/>
  <c r="G71" i="7"/>
  <c r="F71" i="7"/>
  <c r="G41" i="7"/>
  <c r="F41" i="7"/>
  <c r="G75" i="7"/>
  <c r="F75" i="7"/>
  <c r="F64" i="7"/>
  <c r="G64" i="7"/>
  <c r="F56" i="7"/>
  <c r="G56" i="7"/>
  <c r="G62" i="7"/>
  <c r="F62" i="7"/>
  <c r="G42" i="7"/>
  <c r="F42" i="7"/>
  <c r="G26" i="2"/>
  <c r="H26" i="2" s="1"/>
  <c r="J25" i="2"/>
  <c r="K25" i="2" s="1"/>
  <c r="J33" i="2"/>
  <c r="K33" i="2" s="1"/>
  <c r="G15" i="2"/>
  <c r="H15" i="2" s="1"/>
  <c r="J32" i="2"/>
  <c r="K32" i="2" s="1"/>
  <c r="G21" i="2"/>
  <c r="H21" i="2" s="1"/>
  <c r="G24" i="2"/>
  <c r="H24" i="2" s="1"/>
  <c r="J31" i="2"/>
  <c r="K31" i="2" s="1"/>
  <c r="J19" i="2"/>
  <c r="K19" i="2" s="1"/>
  <c r="J30" i="2"/>
  <c r="K30" i="2" s="1"/>
  <c r="G17" i="2"/>
  <c r="H17" i="2" s="1"/>
  <c r="J22" i="2"/>
  <c r="K22" i="2" s="1"/>
  <c r="J29" i="2"/>
  <c r="K29" i="2" s="1"/>
  <c r="G23" i="2"/>
  <c r="H23" i="2" s="1"/>
  <c r="G34" i="2"/>
  <c r="H34" i="2" s="1"/>
  <c r="G74" i="7"/>
  <c r="F74" i="7"/>
  <c r="F77" i="7"/>
  <c r="G77" i="7"/>
  <c r="G63" i="7"/>
  <c r="G53" i="7"/>
  <c r="G55" i="7"/>
  <c r="F55" i="7"/>
  <c r="G66" i="7"/>
  <c r="F66" i="7"/>
  <c r="G49" i="7"/>
  <c r="F49" i="7"/>
  <c r="G65" i="7"/>
  <c r="F65" i="7"/>
  <c r="G73" i="7"/>
  <c r="F73" i="7"/>
  <c r="G48" i="7"/>
  <c r="F48" i="7"/>
  <c r="G50" i="7"/>
  <c r="F50" i="7"/>
  <c r="G43" i="7"/>
  <c r="M45" i="7"/>
  <c r="D33" i="1" s="1"/>
  <c r="F43" i="7"/>
  <c r="G76" i="7"/>
  <c r="F76" i="7"/>
  <c r="G70" i="7"/>
  <c r="F70" i="7"/>
  <c r="G52" i="7"/>
  <c r="F52" i="7"/>
  <c r="G44" i="7"/>
  <c r="F44" i="7"/>
  <c r="G80" i="7"/>
  <c r="F80" i="7"/>
  <c r="F72" i="7"/>
  <c r="G72" i="7"/>
  <c r="G67" i="7"/>
  <c r="F67" i="7"/>
  <c r="G79" i="7"/>
  <c r="F79" i="7"/>
  <c r="G78" i="7"/>
  <c r="F78" i="7"/>
  <c r="F63" i="7"/>
  <c r="F53" i="7"/>
  <c r="G22" i="2"/>
  <c r="H22" i="2" s="1"/>
  <c r="G29" i="2"/>
  <c r="H29" i="2" s="1"/>
  <c r="J15" i="2"/>
  <c r="K15" i="2" s="1"/>
  <c r="B12" i="4"/>
  <c r="C12" i="4" s="1"/>
  <c r="A13" i="4"/>
  <c r="G33" i="2"/>
  <c r="H33" i="2" s="1"/>
  <c r="J34" i="2"/>
  <c r="K34" i="2" s="1"/>
  <c r="G18" i="2"/>
  <c r="H18" i="2" s="1"/>
  <c r="G27" i="2"/>
  <c r="H27" i="2" s="1"/>
  <c r="G20" i="2"/>
  <c r="H20" i="2" s="1"/>
  <c r="J23" i="2"/>
  <c r="K23" i="2" s="1"/>
  <c r="G25" i="2"/>
  <c r="H25" i="2" s="1"/>
  <c r="J16" i="2"/>
  <c r="K16" i="2" s="1"/>
  <c r="J28" i="2"/>
  <c r="K28" i="2" s="1"/>
  <c r="G19" i="2"/>
  <c r="H19" i="2" s="1"/>
  <c r="G30" i="2"/>
  <c r="H30" i="2" s="1"/>
  <c r="G32" i="2"/>
  <c r="H32" i="2" s="1"/>
  <c r="G31" i="2"/>
  <c r="H31" i="2" s="1"/>
  <c r="J21" i="2"/>
  <c r="K21" i="2" s="1"/>
  <c r="J24" i="2"/>
  <c r="K24" i="2" s="1"/>
  <c r="J26" i="2"/>
  <c r="K26" i="2" s="1"/>
  <c r="J17" i="2"/>
  <c r="K17" i="2" s="1"/>
  <c r="H29" i="7"/>
  <c r="D36" i="1"/>
  <c r="L54" i="7" l="1"/>
  <c r="L55" i="7" s="1"/>
  <c r="N54" i="7"/>
  <c r="N55" i="7" s="1"/>
  <c r="B13" i="4"/>
  <c r="C13" i="4" s="1"/>
  <c r="A14" i="4"/>
  <c r="K37" i="2"/>
  <c r="H37" i="2"/>
  <c r="A15" i="4" l="1"/>
  <c r="B14" i="4"/>
  <c r="C14" i="4" s="1"/>
  <c r="I39" i="2"/>
  <c r="B11" i="6" s="1"/>
  <c r="D27" i="1" l="1"/>
  <c r="A16" i="4"/>
  <c r="B15" i="4"/>
  <c r="C15" i="4" s="1"/>
  <c r="B16" i="6"/>
  <c r="B18" i="6" s="1"/>
  <c r="E16" i="6"/>
  <c r="E18" i="6" s="1"/>
  <c r="C16" i="6"/>
  <c r="C18" i="6" s="1"/>
  <c r="D16" i="6"/>
  <c r="D18" i="6" s="1"/>
  <c r="B16" i="4" l="1"/>
  <c r="C16" i="4" s="1"/>
  <c r="A17" i="4"/>
  <c r="B17" i="4" l="1"/>
  <c r="C17" i="4" s="1"/>
  <c r="A18" i="4"/>
  <c r="A19" i="4" l="1"/>
  <c r="B18" i="4"/>
  <c r="C18" i="4" s="1"/>
  <c r="A20" i="4" l="1"/>
  <c r="B19" i="4"/>
  <c r="C19" i="4" s="1"/>
  <c r="A21" i="4" l="1"/>
  <c r="B20" i="4"/>
  <c r="C20" i="4" s="1"/>
  <c r="B21" i="4" l="1"/>
  <c r="C21" i="4" s="1"/>
  <c r="A22" i="4"/>
  <c r="B22" i="4" l="1"/>
  <c r="C22" i="4" s="1"/>
  <c r="A23" i="4"/>
  <c r="A24" i="4" l="1"/>
  <c r="B23" i="4"/>
  <c r="C23" i="4" s="1"/>
  <c r="B24" i="4" l="1"/>
  <c r="C24" i="4" s="1"/>
  <c r="A25" i="4"/>
  <c r="B25" i="4" l="1"/>
  <c r="C25" i="4" s="1"/>
  <c r="A26" i="4"/>
  <c r="B26" i="4" l="1"/>
  <c r="C26" i="4" s="1"/>
  <c r="A27" i="4"/>
  <c r="A28" i="4" l="1"/>
  <c r="B27" i="4"/>
  <c r="C27" i="4" s="1"/>
  <c r="A29" i="4" l="1"/>
  <c r="B28" i="4"/>
  <c r="C28" i="4" s="1"/>
  <c r="B29" i="4" l="1"/>
  <c r="C29" i="4" s="1"/>
  <c r="A30" i="4"/>
  <c r="B30" i="4" l="1"/>
  <c r="C30" i="4" s="1"/>
  <c r="A31" i="4"/>
  <c r="A32" i="4" l="1"/>
  <c r="B31" i="4"/>
  <c r="C31" i="4" s="1"/>
  <c r="A33" i="4" l="1"/>
  <c r="B32" i="4"/>
  <c r="C32" i="4" s="1"/>
  <c r="B33" i="4" l="1"/>
  <c r="C33" i="4" s="1"/>
  <c r="A34" i="4"/>
  <c r="B34" i="4" l="1"/>
  <c r="C34" i="4" s="1"/>
  <c r="A35" i="4"/>
  <c r="A36" i="4" l="1"/>
  <c r="B35" i="4"/>
  <c r="C35" i="4" s="1"/>
  <c r="A37" i="4" l="1"/>
  <c r="B36" i="4"/>
  <c r="C36" i="4" s="1"/>
  <c r="B37" i="4" l="1"/>
  <c r="C37" i="4" s="1"/>
  <c r="A38" i="4"/>
  <c r="B38" i="4" l="1"/>
  <c r="C38" i="4" s="1"/>
  <c r="A39" i="4"/>
  <c r="A40" i="4" l="1"/>
  <c r="B39" i="4"/>
  <c r="C39" i="4" s="1"/>
  <c r="F10" i="4" s="1"/>
  <c r="E21" i="1" l="1"/>
  <c r="F14" i="4"/>
  <c r="E22" i="1" s="1"/>
  <c r="B40" i="4"/>
  <c r="C40" i="4" s="1"/>
  <c r="A41" i="4"/>
  <c r="E23" i="1" l="1"/>
  <c r="E26" i="1" s="1"/>
  <c r="E28" i="1" s="1"/>
  <c r="E30" i="1" s="1"/>
  <c r="A42" i="4"/>
  <c r="B41" i="4"/>
  <c r="C41" i="4" s="1"/>
  <c r="E35" i="1" l="1"/>
  <c r="E39" i="1" s="1"/>
  <c r="E41" i="1" s="1"/>
  <c r="E46" i="1" s="1"/>
  <c r="E34" i="1"/>
  <c r="B42" i="4"/>
  <c r="C42" i="4" s="1"/>
  <c r="A43" i="4"/>
  <c r="E44" i="1" l="1"/>
  <c r="E49" i="1" s="1"/>
  <c r="E42" i="1"/>
  <c r="E47" i="1" s="1"/>
  <c r="E43" i="1"/>
  <c r="E48" i="1" s="1"/>
  <c r="B43" i="4"/>
  <c r="C43" i="4" s="1"/>
  <c r="A44" i="4"/>
  <c r="A45" i="4" l="1"/>
  <c r="B44" i="4"/>
  <c r="C44" i="4" s="1"/>
  <c r="B45" i="4" l="1"/>
  <c r="C45" i="4" s="1"/>
  <c r="A46" i="4"/>
  <c r="B46" i="4" l="1"/>
  <c r="C46" i="4" s="1"/>
  <c r="A47" i="4"/>
  <c r="A48" i="4" l="1"/>
  <c r="B47" i="4"/>
  <c r="C47" i="4" s="1"/>
  <c r="A49" i="4" l="1"/>
  <c r="B48" i="4"/>
  <c r="C48" i="4" s="1"/>
  <c r="B49" i="4" l="1"/>
  <c r="C49" i="4" s="1"/>
  <c r="A50" i="4"/>
  <c r="B50" i="4" l="1"/>
  <c r="C50" i="4" s="1"/>
  <c r="A51" i="4"/>
  <c r="A52" i="4" l="1"/>
  <c r="B51" i="4"/>
  <c r="C51" i="4" s="1"/>
  <c r="A53" i="4" l="1"/>
  <c r="B52" i="4"/>
  <c r="C52" i="4" s="1"/>
  <c r="B53" i="4" l="1"/>
  <c r="C53" i="4" s="1"/>
  <c r="A54" i="4"/>
  <c r="B54" i="4" l="1"/>
  <c r="C54" i="4" s="1"/>
  <c r="A55" i="4"/>
  <c r="A56" i="4" l="1"/>
  <c r="B55" i="4"/>
  <c r="C55" i="4" s="1"/>
  <c r="B56" i="4" l="1"/>
  <c r="C56" i="4" s="1"/>
  <c r="A57" i="4"/>
  <c r="B57" i="4" l="1"/>
  <c r="C57" i="4" s="1"/>
  <c r="A58" i="4"/>
  <c r="B58" i="4" l="1"/>
  <c r="C58" i="4" s="1"/>
  <c r="A59" i="4"/>
  <c r="A60" i="4" l="1"/>
  <c r="B59" i="4"/>
  <c r="C59" i="4" s="1"/>
  <c r="B60" i="4" l="1"/>
  <c r="C60" i="4" s="1"/>
  <c r="A61" i="4"/>
  <c r="B61" i="4" l="1"/>
  <c r="C61" i="4" s="1"/>
  <c r="A62" i="4"/>
  <c r="B62" i="4" l="1"/>
  <c r="C62" i="4" s="1"/>
  <c r="A63" i="4"/>
  <c r="A64" i="4" l="1"/>
  <c r="B63" i="4"/>
  <c r="C63" i="4" s="1"/>
  <c r="B64" i="4" l="1"/>
  <c r="C64" i="4" s="1"/>
  <c r="A65" i="4"/>
  <c r="B65" i="4" l="1"/>
  <c r="C65" i="4" s="1"/>
  <c r="A66" i="4"/>
  <c r="A67" i="4" l="1"/>
  <c r="B66" i="4"/>
  <c r="C66" i="4" s="1"/>
  <c r="A68" i="4" l="1"/>
  <c r="B67" i="4"/>
  <c r="C67" i="4" s="1"/>
  <c r="G10" i="4" s="1"/>
  <c r="G14" i="4" l="1"/>
  <c r="F22" i="1" s="1"/>
  <c r="F21" i="1"/>
  <c r="A69" i="4"/>
  <c r="B68" i="4"/>
  <c r="C68" i="4" s="1"/>
  <c r="A70" i="4" l="1"/>
  <c r="B69" i="4"/>
  <c r="C69" i="4" s="1"/>
  <c r="F23" i="1"/>
  <c r="F26" i="1" l="1"/>
  <c r="F28" i="1" s="1"/>
  <c r="F30" i="1" s="1"/>
  <c r="F34" i="1"/>
  <c r="F35" i="1"/>
  <c r="F39" i="1" s="1"/>
  <c r="B70" i="4"/>
  <c r="C70" i="4" s="1"/>
  <c r="A71" i="4"/>
  <c r="B71" i="4" l="1"/>
  <c r="C71" i="4" s="1"/>
  <c r="A72" i="4"/>
  <c r="F44" i="1"/>
  <c r="F41" i="1"/>
  <c r="F42" i="1"/>
  <c r="F43" i="1"/>
  <c r="B72" i="4" l="1"/>
  <c r="C72" i="4" s="1"/>
  <c r="A73" i="4"/>
  <c r="F46" i="1"/>
  <c r="F47" i="1"/>
  <c r="F49" i="1"/>
  <c r="F48" i="1"/>
  <c r="A74" i="4" l="1"/>
  <c r="B73" i="4"/>
  <c r="C73" i="4" s="1"/>
  <c r="A75" i="4" l="1"/>
  <c r="B74" i="4"/>
  <c r="C74" i="4" s="1"/>
  <c r="B75" i="4" l="1"/>
  <c r="C75" i="4" s="1"/>
  <c r="A76" i="4"/>
  <c r="B76" i="4" l="1"/>
  <c r="C76" i="4" s="1"/>
  <c r="A77" i="4"/>
  <c r="B77" i="4" l="1"/>
  <c r="C77" i="4" s="1"/>
  <c r="A78" i="4"/>
  <c r="B78" i="4" l="1"/>
  <c r="C78" i="4" s="1"/>
  <c r="A79" i="4"/>
  <c r="A80" i="4" l="1"/>
  <c r="B79" i="4"/>
  <c r="C79" i="4" s="1"/>
  <c r="A81" i="4" l="1"/>
  <c r="B80" i="4"/>
  <c r="C80" i="4" s="1"/>
  <c r="B81" i="4" l="1"/>
  <c r="C81" i="4" s="1"/>
  <c r="A82" i="4"/>
  <c r="A83" i="4" l="1"/>
  <c r="B82" i="4"/>
  <c r="C82" i="4" s="1"/>
  <c r="A84" i="4" l="1"/>
  <c r="B83" i="4"/>
  <c r="C83" i="4" s="1"/>
  <c r="B84" i="4" l="1"/>
  <c r="C84" i="4" s="1"/>
  <c r="A85" i="4"/>
  <c r="B85" i="4" l="1"/>
  <c r="C85" i="4" s="1"/>
  <c r="A86" i="4"/>
  <c r="A87" i="4" l="1"/>
  <c r="B86" i="4"/>
  <c r="C86" i="4" s="1"/>
  <c r="A88" i="4" l="1"/>
  <c r="B87" i="4"/>
  <c r="C87" i="4" s="1"/>
  <c r="B88" i="4" l="1"/>
  <c r="C88" i="4" s="1"/>
  <c r="A89" i="4"/>
  <c r="B89" i="4" l="1"/>
  <c r="C89" i="4" s="1"/>
  <c r="A90" i="4"/>
  <c r="A91" i="4" l="1"/>
  <c r="B90" i="4"/>
  <c r="C90" i="4" s="1"/>
  <c r="A92" i="4" l="1"/>
  <c r="B91" i="4"/>
  <c r="C91" i="4" s="1"/>
  <c r="B92" i="4" l="1"/>
  <c r="C92" i="4" s="1"/>
  <c r="A93" i="4"/>
  <c r="B93" i="4" l="1"/>
  <c r="C93" i="4" s="1"/>
  <c r="A94" i="4"/>
  <c r="A95" i="4" l="1"/>
  <c r="B94" i="4"/>
  <c r="C94" i="4" s="1"/>
  <c r="A96" i="4" l="1"/>
  <c r="B95" i="4"/>
  <c r="C95" i="4" s="1"/>
  <c r="B96" i="4" l="1"/>
  <c r="C96" i="4" s="1"/>
  <c r="A97" i="4"/>
  <c r="B97" i="4" l="1"/>
  <c r="C97" i="4" s="1"/>
  <c r="A98" i="4"/>
  <c r="A99" i="4" l="1"/>
  <c r="B98" i="4"/>
  <c r="C98" i="4" s="1"/>
  <c r="H10" i="4" s="1"/>
  <c r="H14" i="4" l="1"/>
  <c r="G22" i="1" s="1"/>
  <c r="G21" i="1"/>
  <c r="B99" i="4"/>
  <c r="C99" i="4" s="1"/>
  <c r="A100" i="4"/>
  <c r="A101" i="4" l="1"/>
  <c r="B100" i="4"/>
  <c r="C100" i="4" s="1"/>
  <c r="G23" i="1"/>
  <c r="G26" i="1" l="1"/>
  <c r="G28" i="1" s="1"/>
  <c r="G30" i="1" s="1"/>
  <c r="G34" i="1"/>
  <c r="G35" i="1"/>
  <c r="G39" i="1" s="1"/>
  <c r="A102" i="4"/>
  <c r="B101" i="4"/>
  <c r="C101" i="4" s="1"/>
  <c r="A103" i="4" l="1"/>
  <c r="B102" i="4"/>
  <c r="C102" i="4" s="1"/>
  <c r="G41" i="1"/>
  <c r="G43" i="1"/>
  <c r="G44" i="1"/>
  <c r="G42" i="1"/>
  <c r="A104" i="4" l="1"/>
  <c r="B103" i="4"/>
  <c r="C103" i="4" s="1"/>
  <c r="G46" i="1"/>
  <c r="G47" i="1"/>
  <c r="G49" i="1"/>
  <c r="G48" i="1"/>
  <c r="B104" i="4" l="1"/>
  <c r="C104" i="4" s="1"/>
  <c r="A105" i="4"/>
  <c r="B105" i="4" l="1"/>
  <c r="C105" i="4" s="1"/>
  <c r="A106" i="4"/>
  <c r="B106" i="4" l="1"/>
  <c r="C106" i="4" s="1"/>
  <c r="A107" i="4"/>
  <c r="B107" i="4" l="1"/>
  <c r="C107" i="4" s="1"/>
  <c r="A108" i="4"/>
  <c r="B108" i="4" l="1"/>
  <c r="C108" i="4" s="1"/>
  <c r="A109" i="4"/>
  <c r="B109" i="4" l="1"/>
  <c r="C109" i="4" s="1"/>
  <c r="A110" i="4"/>
  <c r="B110" i="4" l="1"/>
  <c r="C110" i="4" s="1"/>
  <c r="A111" i="4"/>
  <c r="B111" i="4" l="1"/>
  <c r="C111" i="4" s="1"/>
  <c r="A112" i="4"/>
  <c r="B112" i="4" l="1"/>
  <c r="C112" i="4" s="1"/>
  <c r="A113" i="4"/>
  <c r="B113" i="4" l="1"/>
  <c r="C113" i="4" s="1"/>
  <c r="A114" i="4"/>
  <c r="B114" i="4" l="1"/>
  <c r="C114" i="4" s="1"/>
  <c r="A115" i="4"/>
  <c r="B115" i="4" l="1"/>
  <c r="C115" i="4" s="1"/>
  <c r="A116" i="4"/>
  <c r="B116" i="4" l="1"/>
  <c r="C116" i="4" s="1"/>
  <c r="A117" i="4"/>
  <c r="B117" i="4" l="1"/>
  <c r="C117" i="4" s="1"/>
  <c r="A118" i="4"/>
  <c r="B118" i="4" l="1"/>
  <c r="C118" i="4" s="1"/>
  <c r="A119" i="4"/>
  <c r="B119" i="4" l="1"/>
  <c r="C119" i="4" s="1"/>
  <c r="A120" i="4"/>
  <c r="A121" i="4" l="1"/>
  <c r="B120" i="4"/>
  <c r="C120" i="4" s="1"/>
  <c r="A122" i="4" l="1"/>
  <c r="B121" i="4"/>
  <c r="C121" i="4" s="1"/>
  <c r="B122" i="4" l="1"/>
  <c r="C122" i="4" s="1"/>
  <c r="A123" i="4"/>
  <c r="B123" i="4" l="1"/>
  <c r="C123" i="4" s="1"/>
  <c r="A124" i="4"/>
  <c r="A125" i="4" l="1"/>
  <c r="B124" i="4"/>
  <c r="C124" i="4" s="1"/>
  <c r="A126" i="4" l="1"/>
  <c r="B125" i="4"/>
  <c r="C125" i="4" s="1"/>
  <c r="B126" i="4" l="1"/>
  <c r="C126" i="4" s="1"/>
  <c r="A127" i="4"/>
  <c r="B127" i="4" l="1"/>
  <c r="C127" i="4" s="1"/>
  <c r="A128" i="4"/>
  <c r="A129" i="4" l="1"/>
  <c r="B128" i="4"/>
  <c r="C128" i="4" s="1"/>
  <c r="I10" i="4" s="1"/>
  <c r="H21" i="1" l="1"/>
  <c r="I14" i="4"/>
  <c r="H22" i="1" s="1"/>
  <c r="B129" i="4"/>
  <c r="C129" i="4" s="1"/>
  <c r="A130" i="4"/>
  <c r="B130" i="4" l="1"/>
  <c r="C130" i="4" s="1"/>
  <c r="A131" i="4"/>
  <c r="H23" i="1"/>
  <c r="H34" i="1" l="1"/>
  <c r="H26" i="1"/>
  <c r="H28" i="1" s="1"/>
  <c r="H30" i="1" s="1"/>
  <c r="H35" i="1"/>
  <c r="B131" i="4"/>
  <c r="C131" i="4" s="1"/>
  <c r="A132" i="4"/>
  <c r="H39" i="1" l="1"/>
  <c r="H42" i="1" s="1"/>
  <c r="B132" i="4"/>
  <c r="C132" i="4" s="1"/>
  <c r="A133" i="4"/>
  <c r="H43" i="1" l="1"/>
  <c r="H48" i="1" s="1"/>
  <c r="H44" i="1"/>
  <c r="H49" i="1" s="1"/>
  <c r="H41" i="1"/>
  <c r="H46" i="1" s="1"/>
  <c r="A134" i="4"/>
  <c r="B133" i="4"/>
  <c r="C133" i="4" s="1"/>
  <c r="H47" i="1"/>
  <c r="B134" i="4" l="1"/>
  <c r="C134" i="4" s="1"/>
  <c r="A135" i="4"/>
  <c r="B135" i="4" l="1"/>
  <c r="C135" i="4" s="1"/>
  <c r="A136" i="4"/>
  <c r="B136" i="4" l="1"/>
  <c r="C136" i="4" s="1"/>
  <c r="A137" i="4"/>
  <c r="A138" i="4" l="1"/>
  <c r="B137" i="4"/>
  <c r="C137" i="4" s="1"/>
  <c r="B138" i="4" l="1"/>
  <c r="C138" i="4" s="1"/>
  <c r="A139" i="4"/>
  <c r="B139" i="4" l="1"/>
  <c r="C139" i="4" s="1"/>
  <c r="A140" i="4"/>
  <c r="B140" i="4" l="1"/>
  <c r="C140" i="4" s="1"/>
  <c r="A141" i="4"/>
  <c r="A142" i="4" l="1"/>
  <c r="B141" i="4"/>
  <c r="C141" i="4" s="1"/>
  <c r="A143" i="4" l="1"/>
  <c r="B142" i="4"/>
  <c r="C142" i="4" s="1"/>
  <c r="B143" i="4" l="1"/>
  <c r="C143" i="4" s="1"/>
  <c r="A144" i="4"/>
  <c r="A145" i="4" l="1"/>
  <c r="B144" i="4"/>
  <c r="C144" i="4" s="1"/>
  <c r="A146" i="4" l="1"/>
  <c r="B145" i="4"/>
  <c r="C145" i="4" s="1"/>
  <c r="A147" i="4" l="1"/>
  <c r="B146" i="4"/>
  <c r="C146" i="4" s="1"/>
  <c r="B147" i="4" l="1"/>
  <c r="C147" i="4" s="1"/>
  <c r="A148" i="4"/>
  <c r="A149" i="4" l="1"/>
  <c r="B148" i="4"/>
  <c r="C148" i="4" s="1"/>
  <c r="A150" i="4" l="1"/>
  <c r="B149" i="4"/>
  <c r="C149" i="4" s="1"/>
  <c r="B150" i="4" l="1"/>
  <c r="C150" i="4" s="1"/>
  <c r="A151" i="4"/>
  <c r="B151" i="4" l="1"/>
  <c r="C151" i="4" s="1"/>
  <c r="A152" i="4"/>
  <c r="B152" i="4" l="1"/>
  <c r="C152" i="4" s="1"/>
  <c r="A153" i="4"/>
  <c r="A154" i="4" l="1"/>
  <c r="B153" i="4"/>
  <c r="C153" i="4" s="1"/>
  <c r="B154" i="4" l="1"/>
  <c r="C154" i="4" s="1"/>
  <c r="A155" i="4"/>
  <c r="B155" i="4" l="1"/>
  <c r="C155" i="4" s="1"/>
  <c r="A156" i="4"/>
  <c r="B156" i="4" l="1"/>
  <c r="C156" i="4" s="1"/>
  <c r="A157" i="4"/>
  <c r="A158" i="4" l="1"/>
  <c r="B157" i="4"/>
  <c r="C157" i="4" s="1"/>
  <c r="A159" i="4" l="1"/>
  <c r="B158" i="4"/>
  <c r="C158" i="4" s="1"/>
  <c r="B159" i="4" l="1"/>
  <c r="C159" i="4" s="1"/>
  <c r="J10" i="4" s="1"/>
  <c r="A160" i="4"/>
  <c r="A161" i="4" l="1"/>
  <c r="B160" i="4"/>
  <c r="C160" i="4" s="1"/>
  <c r="I21" i="1"/>
  <c r="J14" i="4"/>
  <c r="I22" i="1" s="1"/>
  <c r="I23" i="1" l="1"/>
  <c r="A162" i="4"/>
  <c r="B161" i="4"/>
  <c r="C161" i="4" s="1"/>
  <c r="A163" i="4" l="1"/>
  <c r="B162" i="4"/>
  <c r="C162" i="4" s="1"/>
  <c r="I26" i="1"/>
  <c r="I28" i="1" s="1"/>
  <c r="I30" i="1" s="1"/>
  <c r="I34" i="1"/>
  <c r="I35" i="1"/>
  <c r="I39" i="1" l="1"/>
  <c r="I41" i="1" s="1"/>
  <c r="A164" i="4"/>
  <c r="B163" i="4"/>
  <c r="C163" i="4" s="1"/>
  <c r="I42" i="1" l="1"/>
  <c r="I47" i="1" s="1"/>
  <c r="I43" i="1"/>
  <c r="I48" i="1" s="1"/>
  <c r="I44" i="1"/>
  <c r="I49" i="1" s="1"/>
  <c r="B164" i="4"/>
  <c r="C164" i="4" s="1"/>
  <c r="A165" i="4"/>
  <c r="I46" i="1"/>
  <c r="A166" i="4" l="1"/>
  <c r="B165" i="4"/>
  <c r="C165" i="4" s="1"/>
  <c r="A167" i="4" l="1"/>
  <c r="B166" i="4"/>
  <c r="C166" i="4" s="1"/>
  <c r="B167" i="4" l="1"/>
  <c r="C167" i="4" s="1"/>
  <c r="A168" i="4"/>
  <c r="B168" i="4" l="1"/>
  <c r="C168" i="4" s="1"/>
  <c r="A169" i="4"/>
  <c r="A170" i="4" l="1"/>
  <c r="B169" i="4"/>
  <c r="C169" i="4" s="1"/>
  <c r="B170" i="4" l="1"/>
  <c r="C170" i="4" s="1"/>
  <c r="A171" i="4"/>
  <c r="B171" i="4" l="1"/>
  <c r="C171" i="4" s="1"/>
  <c r="A172" i="4"/>
  <c r="B172" i="4" l="1"/>
  <c r="C172" i="4" s="1"/>
  <c r="A173" i="4"/>
  <c r="A174" i="4" l="1"/>
  <c r="B173" i="4"/>
  <c r="C173" i="4" s="1"/>
  <c r="A175" i="4" l="1"/>
  <c r="B174" i="4"/>
  <c r="C174" i="4" s="1"/>
  <c r="B175" i="4" l="1"/>
  <c r="C175" i="4" s="1"/>
  <c r="A176" i="4"/>
  <c r="A177" i="4" l="1"/>
  <c r="B176" i="4"/>
  <c r="C176" i="4" s="1"/>
  <c r="A178" i="4" l="1"/>
  <c r="B177" i="4"/>
  <c r="C177" i="4" s="1"/>
  <c r="A179" i="4" l="1"/>
  <c r="B178" i="4"/>
  <c r="C178" i="4" s="1"/>
  <c r="B179" i="4" l="1"/>
  <c r="C179" i="4" s="1"/>
  <c r="A180" i="4"/>
  <c r="B180" i="4" l="1"/>
  <c r="C180" i="4" s="1"/>
  <c r="A181" i="4"/>
  <c r="A182" i="4" l="1"/>
  <c r="B181" i="4"/>
  <c r="C181" i="4" s="1"/>
  <c r="B182" i="4" l="1"/>
  <c r="C182" i="4" s="1"/>
  <c r="A183" i="4"/>
  <c r="B183" i="4" l="1"/>
  <c r="C183" i="4" s="1"/>
  <c r="A184" i="4"/>
  <c r="A185" i="4" l="1"/>
  <c r="B184" i="4"/>
  <c r="C184" i="4" s="1"/>
  <c r="A186" i="4" l="1"/>
  <c r="B185" i="4"/>
  <c r="C185" i="4" s="1"/>
  <c r="A187" i="4" l="1"/>
  <c r="B186" i="4"/>
  <c r="C186" i="4" s="1"/>
  <c r="B187" i="4" l="1"/>
  <c r="C187" i="4" s="1"/>
  <c r="A188" i="4"/>
  <c r="A189" i="4" l="1"/>
  <c r="B188" i="4"/>
  <c r="C188" i="4" s="1"/>
  <c r="A190" i="4" l="1"/>
  <c r="B189" i="4"/>
  <c r="C189" i="4" s="1"/>
  <c r="K10" i="4" s="1"/>
  <c r="J21" i="1" l="1"/>
  <c r="K14" i="4"/>
  <c r="J22" i="1" s="1"/>
  <c r="A191" i="4"/>
  <c r="B190" i="4"/>
  <c r="C190" i="4" s="1"/>
  <c r="B191" i="4" l="1"/>
  <c r="C191" i="4" s="1"/>
  <c r="A192" i="4"/>
  <c r="J23" i="1"/>
  <c r="J26" i="1" l="1"/>
  <c r="J28" i="1" s="1"/>
  <c r="J30" i="1" s="1"/>
  <c r="J34" i="1"/>
  <c r="J35" i="1"/>
  <c r="B192" i="4"/>
  <c r="C192" i="4" s="1"/>
  <c r="A193" i="4"/>
  <c r="J39" i="1" l="1"/>
  <c r="J43" i="1" s="1"/>
  <c r="J48" i="1" s="1"/>
  <c r="B193" i="4"/>
  <c r="C193" i="4" s="1"/>
  <c r="A194" i="4"/>
  <c r="J44" i="1" l="1"/>
  <c r="J49" i="1" s="1"/>
  <c r="J42" i="1"/>
  <c r="J47" i="1" s="1"/>
  <c r="J41" i="1"/>
  <c r="J46" i="1" s="1"/>
  <c r="A195" i="4"/>
  <c r="B194" i="4"/>
  <c r="C194" i="4" s="1"/>
  <c r="B195" i="4" l="1"/>
  <c r="C195" i="4" s="1"/>
  <c r="A196" i="4"/>
  <c r="A197" i="4" l="1"/>
  <c r="B196" i="4"/>
  <c r="C196" i="4" s="1"/>
  <c r="A198" i="4" l="1"/>
  <c r="B197" i="4"/>
  <c r="C197" i="4" s="1"/>
  <c r="B198" i="4" l="1"/>
  <c r="C198" i="4" s="1"/>
  <c r="A199" i="4"/>
  <c r="B199" i="4" l="1"/>
  <c r="C199" i="4" s="1"/>
  <c r="A200" i="4"/>
  <c r="B200" i="4" l="1"/>
  <c r="C200" i="4" s="1"/>
  <c r="A201" i="4"/>
  <c r="A202" i="4" l="1"/>
  <c r="B201" i="4"/>
  <c r="C201" i="4" s="1"/>
  <c r="B202" i="4" l="1"/>
  <c r="C202" i="4" s="1"/>
  <c r="A203" i="4"/>
  <c r="B203" i="4" l="1"/>
  <c r="C203" i="4" s="1"/>
  <c r="A204" i="4"/>
  <c r="A205" i="4" l="1"/>
  <c r="B204" i="4"/>
  <c r="C204" i="4" s="1"/>
  <c r="A206" i="4" l="1"/>
  <c r="B205" i="4"/>
  <c r="C205" i="4" s="1"/>
  <c r="A207" i="4" l="1"/>
  <c r="B206" i="4"/>
  <c r="C206" i="4" s="1"/>
  <c r="B207" i="4" l="1"/>
  <c r="C207" i="4" s="1"/>
  <c r="A208" i="4"/>
  <c r="A209" i="4" l="1"/>
  <c r="B208" i="4"/>
  <c r="C208" i="4" s="1"/>
  <c r="A210" i="4" l="1"/>
  <c r="B209" i="4"/>
  <c r="C209" i="4" s="1"/>
  <c r="A211" i="4" l="1"/>
  <c r="B210" i="4"/>
  <c r="C210" i="4" s="1"/>
  <c r="B211" i="4" l="1"/>
  <c r="C211" i="4" s="1"/>
  <c r="A212" i="4"/>
  <c r="A213" i="4" l="1"/>
  <c r="B212" i="4"/>
  <c r="C212" i="4" s="1"/>
  <c r="A214" i="4" l="1"/>
  <c r="B213" i="4"/>
  <c r="C213" i="4" s="1"/>
  <c r="B214" i="4" l="1"/>
  <c r="C214" i="4" s="1"/>
  <c r="A215" i="4"/>
  <c r="B215" i="4" l="1"/>
  <c r="C215" i="4" s="1"/>
  <c r="A216" i="4"/>
  <c r="B216" i="4" l="1"/>
  <c r="C216" i="4" s="1"/>
  <c r="A217" i="4"/>
  <c r="A218" i="4" l="1"/>
  <c r="B217" i="4"/>
  <c r="C217" i="4" s="1"/>
  <c r="B218" i="4" l="1"/>
  <c r="C218" i="4" s="1"/>
  <c r="A219" i="4"/>
  <c r="B219" i="4" l="1"/>
  <c r="C219" i="4" s="1"/>
  <c r="A220" i="4"/>
  <c r="B220" i="4" l="1"/>
  <c r="C220" i="4" s="1"/>
  <c r="L10" i="4" s="1"/>
  <c r="A221" i="4"/>
  <c r="B221" i="4" l="1"/>
  <c r="C221" i="4" s="1"/>
  <c r="A222" i="4"/>
  <c r="L14" i="4"/>
  <c r="K22" i="1" s="1"/>
  <c r="K21" i="1"/>
  <c r="K23" i="1" l="1"/>
  <c r="A223" i="4"/>
  <c r="B222" i="4"/>
  <c r="C222" i="4" s="1"/>
  <c r="A224" i="4" l="1"/>
  <c r="B223" i="4"/>
  <c r="C223" i="4" s="1"/>
  <c r="K34" i="1"/>
  <c r="K26" i="1"/>
  <c r="K28" i="1" s="1"/>
  <c r="K30" i="1" s="1"/>
  <c r="K35" i="1"/>
  <c r="K39" i="1" l="1"/>
  <c r="K42" i="1" s="1"/>
  <c r="K47" i="1" s="1"/>
  <c r="B224" i="4"/>
  <c r="C224" i="4" s="1"/>
  <c r="A225" i="4"/>
  <c r="K41" i="1" l="1"/>
  <c r="K46" i="1" s="1"/>
  <c r="K44" i="1"/>
  <c r="K49" i="1" s="1"/>
  <c r="K43" i="1"/>
  <c r="K48" i="1" s="1"/>
  <c r="A226" i="4"/>
  <c r="B225" i="4"/>
  <c r="C225" i="4" s="1"/>
  <c r="A227" i="4" l="1"/>
  <c r="B226" i="4"/>
  <c r="C226" i="4" s="1"/>
  <c r="B227" i="4" l="1"/>
  <c r="C227" i="4" s="1"/>
  <c r="A228" i="4"/>
  <c r="A229" i="4" l="1"/>
  <c r="B228" i="4"/>
  <c r="C228" i="4" s="1"/>
  <c r="B229" i="4" l="1"/>
  <c r="C229" i="4" s="1"/>
  <c r="A230" i="4"/>
  <c r="B230" i="4" l="1"/>
  <c r="C230" i="4" s="1"/>
  <c r="A231" i="4"/>
  <c r="B231" i="4" l="1"/>
  <c r="C231" i="4" s="1"/>
  <c r="A232" i="4"/>
  <c r="B232" i="4" l="1"/>
  <c r="C232" i="4" s="1"/>
  <c r="A233" i="4"/>
  <c r="A234" i="4" l="1"/>
  <c r="B233" i="4"/>
  <c r="C233" i="4" s="1"/>
  <c r="B234" i="4" l="1"/>
  <c r="C234" i="4" s="1"/>
  <c r="A235" i="4"/>
  <c r="B235" i="4" l="1"/>
  <c r="C235" i="4" s="1"/>
  <c r="A236" i="4"/>
  <c r="A237" i="4" l="1"/>
  <c r="B236" i="4"/>
  <c r="C236" i="4" s="1"/>
  <c r="A238" i="4" l="1"/>
  <c r="B237" i="4"/>
  <c r="C237" i="4" s="1"/>
  <c r="A239" i="4" l="1"/>
  <c r="B238" i="4"/>
  <c r="C238" i="4" s="1"/>
  <c r="B239" i="4" l="1"/>
  <c r="C239" i="4" s="1"/>
  <c r="A240" i="4"/>
  <c r="A241" i="4" l="1"/>
  <c r="B240" i="4"/>
  <c r="C240" i="4" s="1"/>
  <c r="A242" i="4" l="1"/>
  <c r="B241" i="4"/>
  <c r="C241" i="4" s="1"/>
  <c r="A243" i="4" l="1"/>
  <c r="B242" i="4"/>
  <c r="C242" i="4" s="1"/>
  <c r="B243" i="4" l="1"/>
  <c r="C243" i="4" s="1"/>
  <c r="A244" i="4"/>
  <c r="A245" i="4" l="1"/>
  <c r="B244" i="4"/>
  <c r="C244" i="4" s="1"/>
  <c r="A246" i="4" l="1"/>
  <c r="B245" i="4"/>
  <c r="C245" i="4" s="1"/>
  <c r="B246" i="4" l="1"/>
  <c r="C246" i="4" s="1"/>
  <c r="A247" i="4"/>
  <c r="B247" i="4" l="1"/>
  <c r="C247" i="4" s="1"/>
  <c r="A248" i="4"/>
  <c r="B248" i="4" l="1"/>
  <c r="C248" i="4" s="1"/>
  <c r="A249" i="4"/>
  <c r="A250" i="4" l="1"/>
  <c r="B249" i="4"/>
  <c r="C249" i="4" s="1"/>
  <c r="B250" i="4" l="1"/>
  <c r="C250" i="4" s="1"/>
  <c r="A251" i="4"/>
  <c r="B251" i="4" l="1"/>
  <c r="C251" i="4" s="1"/>
  <c r="H375" i="4" s="1"/>
  <c r="A252" i="4"/>
  <c r="B252" i="4" l="1"/>
  <c r="C252" i="4" s="1"/>
  <c r="A253" i="4"/>
  <c r="M10" i="4"/>
  <c r="L21" i="1" l="1"/>
  <c r="M14" i="4"/>
  <c r="L22" i="1" s="1"/>
  <c r="A254" i="4"/>
  <c r="B253" i="4"/>
  <c r="C253" i="4" s="1"/>
  <c r="A255" i="4" l="1"/>
  <c r="B254" i="4"/>
  <c r="C254" i="4" s="1"/>
  <c r="L23" i="1"/>
  <c r="L35" i="1" l="1"/>
  <c r="L34" i="1"/>
  <c r="L26" i="1"/>
  <c r="L28" i="1" s="1"/>
  <c r="L30" i="1" s="1"/>
  <c r="B255" i="4"/>
  <c r="C255" i="4" s="1"/>
  <c r="A256" i="4"/>
  <c r="L39" i="1" l="1"/>
  <c r="L41" i="1" s="1"/>
  <c r="L46" i="1" s="1"/>
  <c r="B256" i="4"/>
  <c r="C256" i="4" s="1"/>
  <c r="A257" i="4"/>
  <c r="L42" i="1" l="1"/>
  <c r="L47" i="1" s="1"/>
  <c r="L44" i="1"/>
  <c r="L49" i="1" s="1"/>
  <c r="L43" i="1"/>
  <c r="L48" i="1" s="1"/>
  <c r="A258" i="4"/>
  <c r="B257" i="4"/>
  <c r="C257" i="4" s="1"/>
  <c r="A259" i="4" l="1"/>
  <c r="B258" i="4"/>
  <c r="C258" i="4" s="1"/>
  <c r="B259" i="4" l="1"/>
  <c r="C259" i="4" s="1"/>
  <c r="A260" i="4"/>
  <c r="A261" i="4" l="1"/>
  <c r="B260" i="4"/>
  <c r="C260" i="4" s="1"/>
  <c r="A262" i="4" l="1"/>
  <c r="B261" i="4"/>
  <c r="C261" i="4" s="1"/>
  <c r="A263" i="4" l="1"/>
  <c r="B262" i="4"/>
  <c r="C262" i="4" s="1"/>
  <c r="B263" i="4" l="1"/>
  <c r="C263" i="4" s="1"/>
  <c r="A264" i="4"/>
  <c r="B264" i="4" l="1"/>
  <c r="C264" i="4" s="1"/>
  <c r="A265" i="4"/>
  <c r="A266" i="4" l="1"/>
  <c r="B265" i="4"/>
  <c r="C265" i="4" s="1"/>
  <c r="B266" i="4" l="1"/>
  <c r="C266" i="4" s="1"/>
  <c r="A267" i="4"/>
  <c r="B267" i="4" l="1"/>
  <c r="C267" i="4" s="1"/>
  <c r="A268" i="4"/>
  <c r="B268" i="4" l="1"/>
  <c r="C268" i="4" s="1"/>
  <c r="A269" i="4"/>
  <c r="A270" i="4" l="1"/>
  <c r="B269" i="4"/>
  <c r="C269" i="4" s="1"/>
  <c r="B270" i="4" l="1"/>
  <c r="C270" i="4" s="1"/>
  <c r="A271" i="4"/>
  <c r="B271" i="4" l="1"/>
  <c r="C271" i="4" s="1"/>
  <c r="A272" i="4"/>
  <c r="A273" i="4" l="1"/>
  <c r="B272" i="4"/>
  <c r="C272" i="4" s="1"/>
  <c r="A274" i="4" l="1"/>
  <c r="B273" i="4"/>
  <c r="C273" i="4" s="1"/>
  <c r="A275" i="4" l="1"/>
  <c r="B274" i="4"/>
  <c r="C274" i="4" s="1"/>
  <c r="B275" i="4" l="1"/>
  <c r="C275" i="4" s="1"/>
  <c r="A276" i="4"/>
  <c r="A277" i="4" l="1"/>
  <c r="B276" i="4"/>
  <c r="C276" i="4" s="1"/>
  <c r="A278" i="4" l="1"/>
  <c r="B277" i="4"/>
  <c r="C277" i="4" s="1"/>
  <c r="B278" i="4" l="1"/>
  <c r="C278" i="4" s="1"/>
  <c r="A279" i="4"/>
  <c r="B279" i="4" l="1"/>
  <c r="C279" i="4" s="1"/>
  <c r="A280" i="4"/>
  <c r="B280" i="4" l="1"/>
  <c r="C280" i="4" s="1"/>
  <c r="A281" i="4"/>
  <c r="A282" i="4" l="1"/>
  <c r="B281" i="4"/>
  <c r="C281" i="4" s="1"/>
  <c r="N10" i="4" s="1"/>
  <c r="M21" i="1" l="1"/>
  <c r="N14" i="4"/>
  <c r="M22" i="1" s="1"/>
  <c r="A283" i="4"/>
  <c r="B282" i="4"/>
  <c r="C282" i="4" s="1"/>
  <c r="B283" i="4" l="1"/>
  <c r="C283" i="4" s="1"/>
  <c r="A284" i="4"/>
  <c r="M23" i="1"/>
  <c r="M26" i="1" l="1"/>
  <c r="M28" i="1" s="1"/>
  <c r="M30" i="1" s="1"/>
  <c r="M34" i="1"/>
  <c r="M35" i="1"/>
  <c r="A285" i="4"/>
  <c r="B284" i="4"/>
  <c r="C284" i="4" s="1"/>
  <c r="A286" i="4" l="1"/>
  <c r="B285" i="4"/>
  <c r="C285" i="4" s="1"/>
  <c r="M39" i="1"/>
  <c r="M44" i="1" l="1"/>
  <c r="M49" i="1" s="1"/>
  <c r="M43" i="1"/>
  <c r="M48" i="1" s="1"/>
  <c r="M42" i="1"/>
  <c r="M47" i="1" s="1"/>
  <c r="M41" i="1"/>
  <c r="M46" i="1" s="1"/>
  <c r="A287" i="4"/>
  <c r="B286" i="4"/>
  <c r="C286" i="4" s="1"/>
  <c r="A288" i="4" l="1"/>
  <c r="B287" i="4"/>
  <c r="C287" i="4" s="1"/>
  <c r="A289" i="4" l="1"/>
  <c r="B288" i="4"/>
  <c r="C288" i="4" s="1"/>
  <c r="A290" i="4" l="1"/>
  <c r="B289" i="4"/>
  <c r="C289" i="4" s="1"/>
  <c r="A291" i="4" l="1"/>
  <c r="B290" i="4"/>
  <c r="C290" i="4" s="1"/>
  <c r="B291" i="4" l="1"/>
  <c r="C291" i="4" s="1"/>
  <c r="A292" i="4"/>
  <c r="A293" i="4" l="1"/>
  <c r="B292" i="4"/>
  <c r="C292" i="4" s="1"/>
  <c r="A294" i="4" l="1"/>
  <c r="B293" i="4"/>
  <c r="C293" i="4" s="1"/>
  <c r="B294" i="4" l="1"/>
  <c r="C294" i="4" s="1"/>
  <c r="A295" i="4"/>
  <c r="B295" i="4" l="1"/>
  <c r="C295" i="4" s="1"/>
  <c r="A296" i="4"/>
  <c r="B296" i="4" l="1"/>
  <c r="C296" i="4" s="1"/>
  <c r="A297" i="4"/>
  <c r="A298" i="4" l="1"/>
  <c r="B297" i="4"/>
  <c r="C297" i="4" s="1"/>
  <c r="B298" i="4" l="1"/>
  <c r="C298" i="4" s="1"/>
  <c r="A299" i="4"/>
  <c r="B299" i="4" l="1"/>
  <c r="C299" i="4" s="1"/>
  <c r="A300" i="4"/>
  <c r="A301" i="4" l="1"/>
  <c r="B300" i="4"/>
  <c r="C300" i="4" s="1"/>
  <c r="A302" i="4" l="1"/>
  <c r="B301" i="4"/>
  <c r="C301" i="4" s="1"/>
  <c r="A303" i="4" l="1"/>
  <c r="B302" i="4"/>
  <c r="C302" i="4" s="1"/>
  <c r="B303" i="4" l="1"/>
  <c r="C303" i="4" s="1"/>
  <c r="A304" i="4"/>
  <c r="A305" i="4" l="1"/>
  <c r="B304" i="4"/>
  <c r="C304" i="4" s="1"/>
  <c r="A306" i="4" l="1"/>
  <c r="B305" i="4"/>
  <c r="C305" i="4" s="1"/>
  <c r="A307" i="4" l="1"/>
  <c r="B306" i="4"/>
  <c r="C306" i="4" s="1"/>
  <c r="B307" i="4" l="1"/>
  <c r="C307" i="4" s="1"/>
  <c r="A308" i="4"/>
  <c r="A309" i="4" l="1"/>
  <c r="B308" i="4"/>
  <c r="C308" i="4" s="1"/>
  <c r="A310" i="4" l="1"/>
  <c r="B309" i="4"/>
  <c r="C309" i="4" s="1"/>
  <c r="A311" i="4" l="1"/>
  <c r="B310" i="4"/>
  <c r="C310" i="4" s="1"/>
  <c r="B311" i="4" l="1"/>
  <c r="C311" i="4" s="1"/>
  <c r="A312" i="4"/>
  <c r="B312" i="4" l="1"/>
  <c r="C312" i="4" s="1"/>
  <c r="O10" i="4" s="1"/>
  <c r="A313" i="4"/>
  <c r="B313" i="4" l="1"/>
  <c r="C313" i="4" s="1"/>
  <c r="A314" i="4"/>
  <c r="N21" i="1"/>
  <c r="O14" i="4"/>
  <c r="N22" i="1" s="1"/>
  <c r="N23" i="1" l="1"/>
  <c r="B314" i="4"/>
  <c r="C314" i="4" s="1"/>
  <c r="A315" i="4"/>
  <c r="A316" i="4" l="1"/>
  <c r="B315" i="4"/>
  <c r="C315" i="4" s="1"/>
  <c r="N26" i="1"/>
  <c r="N28" i="1" s="1"/>
  <c r="N30" i="1" s="1"/>
  <c r="N34" i="1"/>
  <c r="N35" i="1"/>
  <c r="N39" i="1" l="1"/>
  <c r="N41" i="1" s="1"/>
  <c r="N46" i="1" s="1"/>
  <c r="B316" i="4"/>
  <c r="C316" i="4" s="1"/>
  <c r="A317" i="4"/>
  <c r="N43" i="1" l="1"/>
  <c r="N48" i="1" s="1"/>
  <c r="N42" i="1"/>
  <c r="N47" i="1" s="1"/>
  <c r="N44" i="1"/>
  <c r="N49" i="1" s="1"/>
  <c r="A318" i="4"/>
  <c r="B317" i="4"/>
  <c r="C317" i="4" s="1"/>
  <c r="B318" i="4" l="1"/>
  <c r="C318" i="4" s="1"/>
  <c r="A319" i="4"/>
  <c r="B319" i="4" l="1"/>
  <c r="C319" i="4" s="1"/>
  <c r="A320" i="4"/>
  <c r="B320" i="4" l="1"/>
  <c r="C320" i="4" s="1"/>
  <c r="A321" i="4"/>
  <c r="A322" i="4" l="1"/>
  <c r="B321" i="4"/>
  <c r="C321" i="4" s="1"/>
  <c r="B322" i="4" l="1"/>
  <c r="C322" i="4" s="1"/>
  <c r="A323" i="4"/>
  <c r="B323" i="4" l="1"/>
  <c r="C323" i="4" s="1"/>
  <c r="A324" i="4"/>
  <c r="A325" i="4" l="1"/>
  <c r="B324" i="4"/>
  <c r="C324" i="4" s="1"/>
  <c r="A326" i="4" l="1"/>
  <c r="B325" i="4"/>
  <c r="C325" i="4" s="1"/>
  <c r="A327" i="4" l="1"/>
  <c r="B326" i="4"/>
  <c r="C326" i="4" s="1"/>
  <c r="B327" i="4" l="1"/>
  <c r="C327" i="4" s="1"/>
  <c r="A328" i="4"/>
  <c r="A329" i="4" l="1"/>
  <c r="B328" i="4"/>
  <c r="C328" i="4" s="1"/>
  <c r="A330" i="4" l="1"/>
  <c r="B329" i="4"/>
  <c r="C329" i="4" s="1"/>
  <c r="A331" i="4" l="1"/>
  <c r="B330" i="4"/>
  <c r="C330" i="4" s="1"/>
  <c r="B331" i="4" l="1"/>
  <c r="C331" i="4" s="1"/>
  <c r="A332" i="4"/>
  <c r="A333" i="4" l="1"/>
  <c r="B332" i="4"/>
  <c r="C332" i="4" s="1"/>
  <c r="A334" i="4" l="1"/>
  <c r="B333" i="4"/>
  <c r="C333" i="4" s="1"/>
  <c r="A335" i="4" l="1"/>
  <c r="B334" i="4"/>
  <c r="C334" i="4" s="1"/>
  <c r="B335" i="4" l="1"/>
  <c r="C335" i="4" s="1"/>
  <c r="A336" i="4"/>
  <c r="A337" i="4" l="1"/>
  <c r="B336" i="4"/>
  <c r="C336" i="4" s="1"/>
  <c r="A338" i="4" l="1"/>
  <c r="B337" i="4"/>
  <c r="C337" i="4" s="1"/>
  <c r="B338" i="4" l="1"/>
  <c r="C338" i="4" s="1"/>
  <c r="A339" i="4"/>
  <c r="B339" i="4" l="1"/>
  <c r="C339" i="4" s="1"/>
  <c r="A340" i="4"/>
  <c r="B340" i="4" l="1"/>
  <c r="C340" i="4" s="1"/>
  <c r="A341" i="4"/>
  <c r="A342" i="4" l="1"/>
  <c r="B341" i="4"/>
  <c r="C341" i="4" s="1"/>
  <c r="B342" i="4" l="1"/>
  <c r="C342" i="4" s="1"/>
  <c r="P10" i="4" s="1"/>
  <c r="A343" i="4"/>
  <c r="B343" i="4" l="1"/>
  <c r="C343" i="4" s="1"/>
  <c r="A344" i="4"/>
  <c r="O21" i="1"/>
  <c r="P14" i="4"/>
  <c r="O22" i="1" s="1"/>
  <c r="O23" i="1" l="1"/>
  <c r="B344" i="4"/>
  <c r="C344" i="4" s="1"/>
  <c r="A345" i="4"/>
  <c r="B345" i="4" l="1"/>
  <c r="C345" i="4" s="1"/>
  <c r="A346" i="4"/>
  <c r="O35" i="1"/>
  <c r="O34" i="1"/>
  <c r="O26" i="1"/>
  <c r="O28" i="1" s="1"/>
  <c r="O30" i="1" s="1"/>
  <c r="O39" i="1" l="1"/>
  <c r="O44" i="1" s="1"/>
  <c r="O49" i="1" s="1"/>
  <c r="B346" i="4"/>
  <c r="C346" i="4" s="1"/>
  <c r="A347" i="4"/>
  <c r="O41" i="1" l="1"/>
  <c r="O46" i="1" s="1"/>
  <c r="O42" i="1"/>
  <c r="O47" i="1" s="1"/>
  <c r="O43" i="1"/>
  <c r="O48" i="1" s="1"/>
  <c r="B347" i="4"/>
  <c r="C347" i="4" s="1"/>
  <c r="A348" i="4"/>
  <c r="A349" i="4" l="1"/>
  <c r="B348" i="4"/>
  <c r="C348" i="4" s="1"/>
  <c r="A350" i="4" l="1"/>
  <c r="B349" i="4"/>
  <c r="C349" i="4" s="1"/>
  <c r="A351" i="4" l="1"/>
  <c r="B350" i="4"/>
  <c r="C350" i="4" s="1"/>
  <c r="B351" i="4" l="1"/>
  <c r="C351" i="4" s="1"/>
  <c r="A352" i="4"/>
  <c r="A353" i="4" l="1"/>
  <c r="B352" i="4"/>
  <c r="C352" i="4" s="1"/>
  <c r="A354" i="4" l="1"/>
  <c r="B353" i="4"/>
  <c r="C353" i="4" s="1"/>
  <c r="B354" i="4" l="1"/>
  <c r="C354" i="4" s="1"/>
  <c r="A355" i="4"/>
  <c r="B355" i="4" l="1"/>
  <c r="C355" i="4" s="1"/>
  <c r="A356" i="4"/>
  <c r="B356" i="4" l="1"/>
  <c r="C356" i="4" s="1"/>
  <c r="A357" i="4"/>
  <c r="B357" i="4" l="1"/>
  <c r="C357" i="4" s="1"/>
  <c r="A358" i="4"/>
  <c r="B358" i="4" l="1"/>
  <c r="C358" i="4" s="1"/>
  <c r="A359" i="4"/>
  <c r="B359" i="4" l="1"/>
  <c r="C359" i="4" s="1"/>
  <c r="A360" i="4"/>
  <c r="A361" i="4" l="1"/>
  <c r="B360" i="4"/>
  <c r="C360" i="4" s="1"/>
  <c r="A362" i="4" l="1"/>
  <c r="B361" i="4"/>
  <c r="C361" i="4" s="1"/>
  <c r="A363" i="4" l="1"/>
  <c r="B362" i="4"/>
  <c r="C362" i="4" s="1"/>
  <c r="B363" i="4" l="1"/>
  <c r="C363" i="4" s="1"/>
  <c r="A364" i="4"/>
  <c r="A365" i="4" l="1"/>
  <c r="B364" i="4"/>
  <c r="C364" i="4" s="1"/>
  <c r="A366" i="4" l="1"/>
  <c r="B365" i="4"/>
  <c r="C365" i="4" s="1"/>
  <c r="A367" i="4" l="1"/>
  <c r="B366" i="4"/>
  <c r="C366" i="4" s="1"/>
  <c r="A368" i="4" l="1"/>
  <c r="B367" i="4"/>
  <c r="C367" i="4" s="1"/>
  <c r="A369" i="4" l="1"/>
  <c r="B368" i="4"/>
  <c r="C368" i="4" s="1"/>
  <c r="B369" i="4" l="1"/>
  <c r="C369" i="4" s="1"/>
  <c r="A370" i="4"/>
  <c r="B370" i="4" l="1"/>
  <c r="C370" i="4" s="1"/>
  <c r="A371" i="4"/>
  <c r="A372" i="4" l="1"/>
  <c r="B371" i="4"/>
  <c r="C371" i="4" s="1"/>
  <c r="A373" i="4" l="1"/>
  <c r="B373" i="4" s="1"/>
  <c r="C373" i="4" s="1"/>
  <c r="B372" i="4"/>
  <c r="C372" i="4" s="1"/>
  <c r="D375" i="4" l="1"/>
  <c r="C375" i="4"/>
  <c r="Q10" i="4"/>
  <c r="Q14" i="4" l="1"/>
  <c r="P22" i="1" s="1"/>
  <c r="P21" i="1"/>
  <c r="P23" i="1" s="1"/>
  <c r="P35" i="1" s="1"/>
  <c r="P26" i="1" l="1"/>
  <c r="P28" i="1" s="1"/>
  <c r="P34" i="1"/>
  <c r="R34" i="1" s="1"/>
  <c r="R35" i="1"/>
  <c r="R26" i="1" l="1"/>
  <c r="P30" i="1"/>
  <c r="R28" i="1"/>
  <c r="R30" i="1" l="1"/>
  <c r="P39" i="1"/>
  <c r="P43" i="1" l="1"/>
  <c r="P42" i="1"/>
  <c r="P44" i="1"/>
  <c r="R39" i="1"/>
  <c r="P41" i="1"/>
  <c r="P49" i="1" l="1"/>
  <c r="R44" i="1"/>
  <c r="R49" i="1" s="1"/>
  <c r="P47" i="1"/>
  <c r="R42" i="1"/>
  <c r="R47" i="1" s="1"/>
  <c r="P46" i="1"/>
  <c r="R41" i="1"/>
  <c r="R46" i="1" s="1"/>
  <c r="P48" i="1"/>
  <c r="R43" i="1"/>
  <c r="R4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Band</author>
  </authors>
  <commentList>
    <comment ref="F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up evaluates p(r,φ) for upwind flight at a range of phi and integrates round the annulus of radius r</t>
        </r>
      </text>
    </comment>
    <comment ref="G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down evaluates p(r,φ) for down
wind flight at a range of phi and integrates round the annulus of radius r</t>
        </r>
      </text>
    </comment>
  </commentList>
</comments>
</file>

<file path=xl/sharedStrings.xml><?xml version="1.0" encoding="utf-8"?>
<sst xmlns="http://schemas.openxmlformats.org/spreadsheetml/2006/main" count="314" uniqueCount="213">
  <si>
    <t>Bird details:</t>
  </si>
  <si>
    <t>Species</t>
  </si>
  <si>
    <t>Wingspan</t>
  </si>
  <si>
    <t>Flight speed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</si>
  <si>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</si>
  <si>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</si>
  <si>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</si>
  <si>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</si>
  <si>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</si>
  <si>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</si>
  <si>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</si>
  <si>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</si>
  <si>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</si>
  <si>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</si>
  <si>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</si>
  <si>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</si>
  <si>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Proportion at rotor height</t>
  </si>
  <si>
    <t>Windfarm data</t>
  </si>
  <si>
    <t>Number of turbines</t>
  </si>
  <si>
    <t>Rotor radius</t>
  </si>
  <si>
    <t>Minimum height of rotor</t>
  </si>
  <si>
    <t>m</t>
  </si>
  <si>
    <t>m/sec</t>
  </si>
  <si>
    <t>hrs</t>
  </si>
  <si>
    <t>%</t>
  </si>
  <si>
    <t>Proportion of time operational</t>
  </si>
  <si>
    <t>birds/sq km</t>
  </si>
  <si>
    <t>Daytime areal bird density</t>
  </si>
  <si>
    <t>Total rotor frontal area</t>
  </si>
  <si>
    <t>sq m</t>
  </si>
  <si>
    <t>Collisions assuming no avoidance</t>
  </si>
  <si>
    <t>Collisions assuming avoidance rate</t>
  </si>
  <si>
    <t>Species name</t>
  </si>
  <si>
    <t>Calculation of alpha and p(collision) as a function of radius</t>
  </si>
  <si>
    <t>NoBlades</t>
  </si>
  <si>
    <t>Upwind:</t>
  </si>
  <si>
    <t>Downwind:</t>
  </si>
  <si>
    <t>MaxChord</t>
  </si>
  <si>
    <t xml:space="preserve"> m</t>
  </si>
  <si>
    <t>r/R</t>
  </si>
  <si>
    <t>c/C</t>
  </si>
  <si>
    <t>a</t>
  </si>
  <si>
    <t>collide</t>
  </si>
  <si>
    <t>Pitch (degrees)</t>
  </si>
  <si>
    <t>radius</t>
  </si>
  <si>
    <t>chord</t>
  </si>
  <si>
    <t>alpha</t>
  </si>
  <si>
    <t>length</t>
  </si>
  <si>
    <t>p(collision)</t>
  </si>
  <si>
    <t>BirdLength</t>
  </si>
  <si>
    <t>Bird speed</t>
  </si>
  <si>
    <t xml:space="preserve"> m/sec</t>
  </si>
  <si>
    <t xml:space="preserve"> sec</t>
  </si>
  <si>
    <t>Upwind</t>
  </si>
  <si>
    <t>Downwind</t>
  </si>
  <si>
    <t>Average</t>
  </si>
  <si>
    <t>Integration interval</t>
  </si>
  <si>
    <t>Gannet</t>
  </si>
  <si>
    <t xml:space="preserve">Latitude = </t>
  </si>
  <si>
    <t>P</t>
  </si>
  <si>
    <t>Daylength</t>
  </si>
  <si>
    <t>Monthly available daylight hours</t>
  </si>
  <si>
    <t>March</t>
  </si>
  <si>
    <t>April</t>
  </si>
  <si>
    <t>June</t>
  </si>
  <si>
    <t>July</t>
  </si>
  <si>
    <t>August</t>
  </si>
  <si>
    <t>Sept</t>
  </si>
  <si>
    <t>Monthly available nocturnal hours</t>
  </si>
  <si>
    <t>annual</t>
  </si>
  <si>
    <t>winter</t>
  </si>
  <si>
    <t>summer</t>
  </si>
  <si>
    <r>
      <t xml:space="preserve">Taken from Forsythe </t>
    </r>
    <r>
      <rPr>
        <i/>
        <sz val="8"/>
        <rFont val="Arial"/>
        <family val="2"/>
      </rPr>
      <t>et al.</t>
    </r>
    <r>
      <rPr>
        <sz val="8"/>
        <rFont val="Arial"/>
        <family val="2"/>
      </rPr>
      <t>(1995) A model comparison for daylength as a function of latitude and day of year.  Ecological Modelling. 80: 87 - 95</t>
    </r>
  </si>
  <si>
    <t>Monthly available total hours</t>
  </si>
  <si>
    <t>Nocturnal activity factor (1-5)</t>
  </si>
  <si>
    <t>Nocturnal activity (% of daytime)</t>
  </si>
  <si>
    <t>Bird data</t>
  </si>
  <si>
    <t>Bird length</t>
  </si>
  <si>
    <r>
      <t xml:space="preserve">Bird aspect ratio:  </t>
    </r>
    <r>
      <rPr>
        <sz val="8"/>
        <rFont val="Symbol"/>
        <family val="1"/>
        <charset val="2"/>
      </rPr>
      <t>b</t>
    </r>
  </si>
  <si>
    <t>Latitude</t>
  </si>
  <si>
    <t>Monthly proportion of time operational</t>
  </si>
  <si>
    <t>No of blades</t>
  </si>
  <si>
    <t>Turbine data</t>
  </si>
  <si>
    <t>Pitch</t>
  </si>
  <si>
    <t>used in available hours sheet</t>
  </si>
  <si>
    <t>degrees</t>
  </si>
  <si>
    <t>Turbine model</t>
  </si>
  <si>
    <t>Max blade width</t>
  </si>
  <si>
    <t>Windfarm data:</t>
  </si>
  <si>
    <t>Collision risk for single rotor transit</t>
  </si>
  <si>
    <t>(from sheet 3)</t>
  </si>
  <si>
    <t>Stage E - applying avoidance rates</t>
  </si>
  <si>
    <t>from Sheet 1 - input data</t>
  </si>
  <si>
    <t>from Sheet 3 - single transit collision risk</t>
  </si>
  <si>
    <t>from survey data</t>
  </si>
  <si>
    <t>calculated field</t>
  </si>
  <si>
    <t>Bird survey data</t>
  </si>
  <si>
    <t>Large array correction factor</t>
  </si>
  <si>
    <t>Width of windfarm</t>
  </si>
  <si>
    <t>Collision risk from single rotor transit</t>
  </si>
  <si>
    <t>Avoidance rate</t>
  </si>
  <si>
    <t>km</t>
  </si>
  <si>
    <t>used in large array correction sheet</t>
  </si>
  <si>
    <t>year average</t>
  </si>
  <si>
    <t>per annum</t>
  </si>
  <si>
    <t>Average proportion of time operational</t>
  </si>
  <si>
    <t>(if this is left blank, number is assumed to be sqrt(T)</t>
  </si>
  <si>
    <t>Number of turbines in each row</t>
  </si>
  <si>
    <t>Sheet 5 - Large array correction factor</t>
  </si>
  <si>
    <t>data from Sheet 1</t>
  </si>
  <si>
    <t>calculated fields</t>
  </si>
  <si>
    <t>Number of rows (optional)</t>
  </si>
  <si>
    <t>Total daylight hours per month</t>
  </si>
  <si>
    <t>Total night hours per month</t>
  </si>
  <si>
    <t>these data are copied automatically to the 'overall collision risk' sheet</t>
  </si>
  <si>
    <t>Overall p(collision) integrated over disk</t>
  </si>
  <si>
    <t>(copied to sheet 1)</t>
  </si>
  <si>
    <t>Stage A - flight activity</t>
  </si>
  <si>
    <t>not used in calculation but stated for reference</t>
  </si>
  <si>
    <t>Calculated outputs</t>
  </si>
  <si>
    <t>Main output copied to sheet 1</t>
  </si>
  <si>
    <t xml:space="preserve">Potential bird transits through rotors </t>
  </si>
  <si>
    <t>birds per month or year</t>
  </si>
  <si>
    <t>central latitude of the proposal, copied from  the input data shoet: do not enter here</t>
  </si>
  <si>
    <t>Avoidance rates used in presenting results</t>
  </si>
  <si>
    <t>no data entry needed on this sheet!</t>
  </si>
  <si>
    <t>All data input on Sheet 1:</t>
  </si>
  <si>
    <t>All input data must be entered on Sheet 1, not here</t>
  </si>
  <si>
    <t>However the blade profile (orange) may be revised here to match the actual turbine blades used</t>
  </si>
  <si>
    <t>Name of windfarm site</t>
  </si>
  <si>
    <t>Rotation speed</t>
  </si>
  <si>
    <t>rpm</t>
  </si>
  <si>
    <t>Rotation Speed</t>
  </si>
  <si>
    <t>Assumed number of turbine rows</t>
  </si>
  <si>
    <t>Do not enter data on this sheet, unless to prescribe the number of turbine rows</t>
  </si>
  <si>
    <t>data from Sheet 3</t>
  </si>
  <si>
    <t>data from Sheet 2</t>
  </si>
  <si>
    <t>Collision risk for single bird passage, before correction</t>
  </si>
  <si>
    <t>data to be entered here (optional)</t>
  </si>
  <si>
    <t>All the data below is derived from Sheets 1, 2 or 3</t>
  </si>
  <si>
    <t>gliding</t>
  </si>
  <si>
    <t>Flight type, flapping or gliding</t>
  </si>
  <si>
    <t>F: flapping (0) or gliding (+1)</t>
  </si>
  <si>
    <t>Daytime bird density</t>
  </si>
  <si>
    <t>Rotor Radius</t>
  </si>
  <si>
    <t>Rotation Period</t>
  </si>
  <si>
    <t>Units</t>
  </si>
  <si>
    <t>Value</t>
  </si>
  <si>
    <t>Sheet 1 - Input data</t>
  </si>
  <si>
    <t>COLLISION RISK ASSESSMENT</t>
  </si>
  <si>
    <t>Sheet 3 - probability of collision for single bird transit through rotor</t>
  </si>
  <si>
    <t>Sheet 4 - Daylight and night hours</t>
  </si>
  <si>
    <t>Proportion of flights upwind</t>
  </si>
  <si>
    <t>Data sources</t>
  </si>
  <si>
    <t xml:space="preserve">   Proportion   upwind: downwind</t>
  </si>
  <si>
    <t>Data sources (if applicable)</t>
  </si>
  <si>
    <t>Collisions after applying large array correction</t>
  </si>
  <si>
    <t>Sheet 2 -  Overall collision risk</t>
  </si>
  <si>
    <t>Potential bird transits through rotors</t>
  </si>
  <si>
    <t>Collision integral</t>
  </si>
  <si>
    <t>Collisions for entire windfarm, allowing for non-op time, assuming no avoidance</t>
  </si>
  <si>
    <t>INPUTS</t>
  </si>
  <si>
    <t>Npoints</t>
  </si>
  <si>
    <t>BASIC MODEL</t>
  </si>
  <si>
    <t>p(r) up</t>
  </si>
  <si>
    <t>p(r) down</t>
  </si>
  <si>
    <t>Radius</t>
  </si>
  <si>
    <t>Hub height</t>
  </si>
  <si>
    <t>Tidal offset</t>
  </si>
  <si>
    <t>Flight type</t>
  </si>
  <si>
    <t>Average collision risks for flight through disk</t>
  </si>
  <si>
    <t>ALTERNATIVE MODEL USING FLIGHT HEIGHT DISTRIBUTION</t>
  </si>
  <si>
    <t>Flight height distribution</t>
  </si>
  <si>
    <t>y</t>
  </si>
  <si>
    <t>d(y)</t>
  </si>
  <si>
    <t>risk up</t>
  </si>
  <si>
    <t>risk down</t>
  </si>
  <si>
    <t>d(y) risk up</t>
  </si>
  <si>
    <t>d(y) risk down</t>
  </si>
  <si>
    <t>xinc</t>
  </si>
  <si>
    <t>yinc</t>
  </si>
  <si>
    <t>FLIGHT HEIGHT DISTRIBUTIONS</t>
  </si>
  <si>
    <t>D(Y) is relative frequency per m of height</t>
  </si>
  <si>
    <t>Ensure birddata for current collision assessment is pasted into column B!</t>
  </si>
  <si>
    <t>Current bird:</t>
  </si>
  <si>
    <t>Kittiwake</t>
  </si>
  <si>
    <t>Fulmar</t>
  </si>
  <si>
    <t>Uniform</t>
  </si>
  <si>
    <t>No of points</t>
  </si>
  <si>
    <t>height Y above sea (m)</t>
  </si>
  <si>
    <t>D(Y)</t>
  </si>
  <si>
    <t>Proportions upwind/downwind flight</t>
  </si>
  <si>
    <t>Collision integral (average)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</si>
  <si>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input data</t>
    </r>
  </si>
  <si>
    <t>(down)</t>
  </si>
  <si>
    <t>(up)</t>
  </si>
  <si>
    <t>x and y increments used in results below</t>
  </si>
  <si>
    <t>(though set fixed at 0.05 for diagram)</t>
  </si>
  <si>
    <t>(from sheet 4)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</si>
  <si>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* p from Option 2</t>
    </r>
  </si>
  <si>
    <t>Flux integral</t>
  </si>
  <si>
    <t>Flux factor</t>
  </si>
  <si>
    <t>from Sheet 6 - available hours</t>
  </si>
  <si>
    <t>Average collision risk for single rotor transit</t>
  </si>
  <si>
    <t>Using which of above options?</t>
  </si>
  <si>
    <t>Option 1 -Basic model - Stages B, C and D</t>
  </si>
  <si>
    <t>Option 2-Basic model using proportion from flight distribution</t>
  </si>
  <si>
    <t>Option 3-Advanced model using flight height distribution</t>
  </si>
  <si>
    <r>
      <t>Q'</t>
    </r>
    <r>
      <rPr>
        <b/>
        <vertAlign val="subscript"/>
        <sz val="8"/>
        <rFont val="Arial"/>
        <family val="2"/>
      </rPr>
      <t>2R</t>
    </r>
    <r>
      <rPr>
        <b/>
        <sz val="8"/>
        <rFont val="Arial"/>
        <family val="2"/>
      </rPr>
      <t xml:space="preserve"> from flight distribution</t>
    </r>
  </si>
  <si>
    <t>used in single transit collision risk sheet or extended model</t>
  </si>
  <si>
    <t>Worked example site</t>
  </si>
  <si>
    <t>4MW turbine</t>
  </si>
  <si>
    <t>Option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</si>
</sst>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%"/>
    <numFmt numFmtId="165" formatCode="0.000"/>
    <numFmt numFmtId="166" formatCode=";;;"/>
    <numFmt numFmtId="167" formatCode="0.00000"/>
    <numFmt numFmtId="168" formatCode="0.000%"/>
    <numFmt numFmtId="169" formatCode="0.0"/>
    <numFmt numFmtId="170" formatCode="#,##0.000"/>
    <numFmt numFmtId="171" formatCode="0.0000"/>
    <numFmt numFmtId="172" formatCode="0.000000"/>
    <numFmt numFmtId="173" formatCode="0.0000000"/>
    <numFmt numFmtId="175" formatCode="0.000000000"/>
  </numFmts>
  <fonts count="1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Symbol"/>
      <family val="1"/>
      <charset val="2"/>
    </font>
    <font>
      <i/>
      <sz val="8"/>
      <name val="Arial"/>
      <family val="2"/>
    </font>
    <font>
      <i/>
      <sz val="10"/>
      <name val="Arial"/>
      <family val="2"/>
    </font>
    <font>
      <b/>
      <vertAlign val="subscript"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8"/>
      <name val="Arial"/>
      <family val="2"/>
    </font>
    <font>
      <sz val="8"/>
      <color theme="3" tint="0.399975585192419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1" fontId="0" fillId="3" borderId="0" xfId="0" applyNumberFormat="1" applyFill="1"/>
    <xf numFmtId="0" fontId="0" fillId="0" borderId="0" xfId="0" applyProtection="1">
      <protection locked="0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Protection="1">
      <protection locked="0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1" xfId="0" applyFont="1" applyBorder="1"/>
    <xf numFmtId="166" fontId="6" fillId="0" borderId="0" xfId="0" applyNumberFormat="1" applyFont="1" applyAlignment="1" applyProtection="1">
      <alignment horizontal="right"/>
    </xf>
    <xf numFmtId="0" fontId="6" fillId="0" borderId="1" xfId="0" applyFont="1" applyBorder="1" applyAlignment="1">
      <alignment horizontal="center"/>
    </xf>
    <xf numFmtId="166" fontId="6" fillId="0" borderId="0" xfId="0" applyNumberFormat="1" applyFont="1"/>
    <xf numFmtId="2" fontId="6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Protection="1"/>
    <xf numFmtId="2" fontId="6" fillId="0" borderId="0" xfId="0" applyNumberFormat="1" applyFont="1" applyProtection="1">
      <protection locked="0"/>
    </xf>
    <xf numFmtId="10" fontId="6" fillId="0" borderId="0" xfId="0" applyNumberFormat="1" applyFont="1" applyProtection="1">
      <protection locked="0"/>
    </xf>
    <xf numFmtId="164" fontId="7" fillId="4" borderId="0" xfId="0" applyNumberFormat="1" applyFont="1" applyFill="1"/>
    <xf numFmtId="164" fontId="0" fillId="4" borderId="0" xfId="0" applyNumberFormat="1" applyFill="1"/>
    <xf numFmtId="2" fontId="6" fillId="3" borderId="0" xfId="0" applyNumberFormat="1" applyFont="1" applyFill="1" applyProtection="1"/>
    <xf numFmtId="16" fontId="0" fillId="0" borderId="0" xfId="0" applyNumberFormat="1"/>
    <xf numFmtId="16" fontId="6" fillId="0" borderId="0" xfId="0" applyNumberFormat="1" applyFont="1"/>
    <xf numFmtId="0" fontId="6" fillId="0" borderId="0" xfId="0" applyFont="1" applyAlignment="1">
      <alignment horizontal="right"/>
    </xf>
    <xf numFmtId="2" fontId="6" fillId="3" borderId="0" xfId="0" applyNumberFormat="1" applyFont="1" applyFill="1"/>
    <xf numFmtId="0" fontId="6" fillId="3" borderId="0" xfId="0" applyFont="1" applyFill="1"/>
    <xf numFmtId="16" fontId="6" fillId="0" borderId="0" xfId="0" applyNumberFormat="1" applyFont="1" applyAlignment="1">
      <alignment horizontal="right"/>
    </xf>
    <xf numFmtId="16" fontId="2" fillId="0" borderId="0" xfId="0" applyNumberFormat="1" applyFont="1"/>
    <xf numFmtId="0" fontId="2" fillId="0" borderId="0" xfId="0" applyFont="1" applyAlignment="1">
      <alignment horizontal="right"/>
    </xf>
    <xf numFmtId="169" fontId="2" fillId="3" borderId="0" xfId="0" applyNumberFormat="1" applyFont="1" applyFill="1"/>
    <xf numFmtId="9" fontId="0" fillId="3" borderId="0" xfId="0" applyNumberFormat="1" applyFill="1"/>
    <xf numFmtId="9" fontId="0" fillId="0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169" fontId="0" fillId="5" borderId="0" xfId="0" applyNumberFormat="1" applyFill="1" applyBorder="1"/>
    <xf numFmtId="0" fontId="0" fillId="5" borderId="0" xfId="0" applyFill="1" applyBorder="1"/>
    <xf numFmtId="0" fontId="0" fillId="6" borderId="0" xfId="0" applyFill="1" applyBorder="1"/>
    <xf numFmtId="0" fontId="0" fillId="5" borderId="0" xfId="0" applyFill="1" applyBorder="1" applyAlignment="1">
      <alignment horizontal="right"/>
    </xf>
    <xf numFmtId="0" fontId="6" fillId="0" borderId="0" xfId="0" applyFont="1" applyFill="1" applyProtection="1">
      <protection locked="0"/>
    </xf>
    <xf numFmtId="0" fontId="0" fillId="0" borderId="0" xfId="0" applyBorder="1" applyAlignment="1">
      <alignment horizontal="right"/>
    </xf>
    <xf numFmtId="169" fontId="0" fillId="0" borderId="0" xfId="0" applyNumberFormat="1" applyFill="1"/>
    <xf numFmtId="1" fontId="0" fillId="0" borderId="0" xfId="0" applyNumberFormat="1" applyFill="1"/>
    <xf numFmtId="0" fontId="0" fillId="0" borderId="0" xfId="0" applyFill="1" applyBorder="1"/>
    <xf numFmtId="169" fontId="0" fillId="3" borderId="0" xfId="0" applyNumberFormat="1" applyFill="1"/>
    <xf numFmtId="1" fontId="0" fillId="7" borderId="0" xfId="0" applyNumberFormat="1" applyFill="1"/>
    <xf numFmtId="0" fontId="0" fillId="4" borderId="0" xfId="0" applyFill="1"/>
    <xf numFmtId="0" fontId="0" fillId="8" borderId="0" xfId="0" applyFill="1"/>
    <xf numFmtId="0" fontId="0" fillId="6" borderId="0" xfId="0" applyFill="1" applyBorder="1" applyAlignment="1">
      <alignment horizontal="right"/>
    </xf>
    <xf numFmtId="0" fontId="0" fillId="7" borderId="0" xfId="0" applyFill="1" applyBorder="1" applyAlignment="1">
      <alignment horizontal="right"/>
    </xf>
    <xf numFmtId="0" fontId="0" fillId="9" borderId="0" xfId="0" applyFill="1"/>
    <xf numFmtId="167" fontId="0" fillId="3" borderId="0" xfId="0" applyNumberFormat="1" applyFill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5" borderId="6" xfId="0" applyFill="1" applyBorder="1"/>
    <xf numFmtId="0" fontId="0" fillId="0" borderId="7" xfId="0" applyFill="1" applyBorder="1"/>
    <xf numFmtId="0" fontId="0" fillId="0" borderId="7" xfId="0" applyBorder="1"/>
    <xf numFmtId="0" fontId="0" fillId="6" borderId="8" xfId="0" applyFill="1" applyBorder="1"/>
    <xf numFmtId="0" fontId="0" fillId="0" borderId="3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2" fillId="0" borderId="5" xfId="0" applyFont="1" applyBorder="1"/>
    <xf numFmtId="0" fontId="0" fillId="0" borderId="6" xfId="0" applyBorder="1"/>
    <xf numFmtId="2" fontId="0" fillId="0" borderId="7" xfId="0" applyNumberFormat="1" applyBorder="1"/>
    <xf numFmtId="0" fontId="0" fillId="0" borderId="9" xfId="0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3" borderId="0" xfId="0" applyFill="1"/>
    <xf numFmtId="0" fontId="10" fillId="0" borderId="0" xfId="0" applyFont="1"/>
    <xf numFmtId="2" fontId="0" fillId="0" borderId="0" xfId="0" applyNumberFormat="1"/>
    <xf numFmtId="0" fontId="0" fillId="0" borderId="0" xfId="0" applyAlignment="1">
      <alignment horizontal="right" wrapText="1"/>
    </xf>
    <xf numFmtId="2" fontId="6" fillId="5" borderId="0" xfId="0" applyNumberFormat="1" applyFont="1" applyFill="1"/>
    <xf numFmtId="168" fontId="7" fillId="0" borderId="0" xfId="0" applyNumberFormat="1" applyFont="1"/>
    <xf numFmtId="2" fontId="6" fillId="0" borderId="0" xfId="0" applyNumberFormat="1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164" fontId="7" fillId="0" borderId="0" xfId="0" applyNumberFormat="1" applyFont="1" applyFill="1"/>
    <xf numFmtId="0" fontId="6" fillId="0" borderId="10" xfId="0" applyFont="1" applyBorder="1"/>
    <xf numFmtId="0" fontId="6" fillId="0" borderId="11" xfId="0" applyFont="1" applyBorder="1" applyAlignment="1">
      <alignment horizontal="centerContinuous"/>
    </xf>
    <xf numFmtId="0" fontId="7" fillId="0" borderId="11" xfId="0" applyFont="1" applyBorder="1" applyAlignment="1">
      <alignment horizontal="left"/>
    </xf>
    <xf numFmtId="169" fontId="0" fillId="5" borderId="0" xfId="0" applyNumberFormat="1" applyFill="1"/>
    <xf numFmtId="0" fontId="0" fillId="10" borderId="0" xfId="0" applyFill="1" applyBorder="1"/>
    <xf numFmtId="2" fontId="6" fillId="3" borderId="1" xfId="0" applyNumberFormat="1" applyFont="1" applyFill="1" applyBorder="1"/>
    <xf numFmtId="2" fontId="6" fillId="3" borderId="10" xfId="0" applyNumberFormat="1" applyFont="1" applyFill="1" applyBorder="1"/>
    <xf numFmtId="164" fontId="7" fillId="3" borderId="0" xfId="0" applyNumberFormat="1" applyFont="1" applyFill="1"/>
    <xf numFmtId="0" fontId="2" fillId="5" borderId="0" xfId="0" applyFont="1" applyFill="1"/>
    <xf numFmtId="0" fontId="2" fillId="3" borderId="0" xfId="0" applyFont="1" applyFill="1"/>
    <xf numFmtId="0" fontId="2" fillId="11" borderId="0" xfId="0" applyFont="1" applyFill="1"/>
    <xf numFmtId="164" fontId="6" fillId="0" borderId="8" xfId="0" applyNumberFormat="1" applyFont="1" applyFill="1" applyBorder="1"/>
    <xf numFmtId="1" fontId="1" fillId="3" borderId="0" xfId="0" applyNumberFormat="1" applyFont="1" applyFill="1"/>
    <xf numFmtId="0" fontId="0" fillId="10" borderId="0" xfId="0" applyFill="1"/>
    <xf numFmtId="170" fontId="0" fillId="6" borderId="0" xfId="0" applyNumberFormat="1" applyFill="1" applyBorder="1"/>
    <xf numFmtId="2" fontId="0" fillId="5" borderId="0" xfId="0" applyNumberFormat="1" applyFill="1" applyBorder="1"/>
    <xf numFmtId="165" fontId="0" fillId="0" borderId="0" xfId="0" applyNumberFormat="1" applyFill="1"/>
    <xf numFmtId="10" fontId="0" fillId="5" borderId="0" xfId="0" applyNumberFormat="1" applyFill="1"/>
    <xf numFmtId="10" fontId="1" fillId="3" borderId="0" xfId="0" applyNumberFormat="1" applyFont="1" applyFill="1"/>
    <xf numFmtId="2" fontId="0" fillId="6" borderId="0" xfId="0" applyNumberFormat="1" applyFill="1"/>
    <xf numFmtId="165" fontId="0" fillId="4" borderId="0" xfId="0" applyNumberFormat="1" applyFill="1"/>
    <xf numFmtId="0" fontId="1" fillId="0" borderId="0" xfId="0" applyFont="1" applyFill="1"/>
    <xf numFmtId="2" fontId="0" fillId="6" borderId="0" xfId="0" applyNumberFormat="1" applyFill="1" applyBorder="1"/>
    <xf numFmtId="0" fontId="0" fillId="6" borderId="8" xfId="0" applyFill="1" applyBorder="1" applyAlignment="1">
      <alignment horizontal="right"/>
    </xf>
    <xf numFmtId="0" fontId="1" fillId="10" borderId="0" xfId="0" applyFont="1" applyFill="1" applyBorder="1" applyAlignment="1">
      <alignment horizontal="right"/>
    </xf>
    <xf numFmtId="2" fontId="0" fillId="7" borderId="0" xfId="0" applyNumberFormat="1" applyFill="1" applyBorder="1"/>
    <xf numFmtId="0" fontId="1" fillId="0" borderId="0" xfId="0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164" fontId="0" fillId="5" borderId="0" xfId="0" applyNumberFormat="1" applyFill="1" applyBorder="1"/>
    <xf numFmtId="0" fontId="0" fillId="0" borderId="6" xfId="0" applyFill="1" applyBorder="1"/>
    <xf numFmtId="164" fontId="0" fillId="6" borderId="8" xfId="0" applyNumberFormat="1" applyFill="1" applyBorder="1"/>
    <xf numFmtId="9" fontId="0" fillId="5" borderId="0" xfId="0" applyNumberFormat="1" applyFill="1"/>
    <xf numFmtId="164" fontId="0" fillId="3" borderId="0" xfId="0" applyNumberFormat="1" applyFill="1"/>
    <xf numFmtId="0" fontId="0" fillId="0" borderId="0" xfId="0" applyAlignment="1" applyProtection="1">
      <alignment horizontal="right"/>
      <protection locked="0"/>
    </xf>
    <xf numFmtId="9" fontId="6" fillId="3" borderId="0" xfId="0" applyNumberFormat="1" applyFont="1" applyFill="1"/>
    <xf numFmtId="2" fontId="6" fillId="6" borderId="0" xfId="0" applyNumberFormat="1" applyFont="1" applyFill="1" applyProtection="1">
      <protection locked="0"/>
    </xf>
    <xf numFmtId="0" fontId="5" fillId="5" borderId="0" xfId="0" applyFont="1" applyFill="1" applyProtection="1"/>
    <xf numFmtId="4" fontId="5" fillId="5" borderId="0" xfId="0" applyNumberFormat="1" applyFont="1" applyFill="1" applyProtection="1"/>
    <xf numFmtId="0" fontId="5" fillId="5" borderId="0" xfId="0" applyFont="1" applyFill="1" applyAlignment="1" applyProtection="1">
      <alignment horizontal="right"/>
    </xf>
    <xf numFmtId="2" fontId="5" fillId="5" borderId="0" xfId="0" applyNumberFormat="1" applyFont="1" applyFill="1" applyProtection="1"/>
    <xf numFmtId="9" fontId="5" fillId="5" borderId="0" xfId="0" applyNumberFormat="1" applyFont="1" applyFill="1" applyProtection="1"/>
    <xf numFmtId="0" fontId="6" fillId="5" borderId="0" xfId="0" applyFont="1" applyFill="1" applyProtection="1"/>
    <xf numFmtId="2" fontId="5" fillId="3" borderId="0" xfId="0" applyNumberFormat="1" applyFont="1" applyFill="1" applyProtection="1"/>
    <xf numFmtId="0" fontId="6" fillId="0" borderId="0" xfId="0" applyFont="1" applyProtection="1"/>
    <xf numFmtId="1" fontId="0" fillId="8" borderId="0" xfId="0" applyNumberFormat="1" applyFill="1" applyProtection="1">
      <protection locked="0"/>
    </xf>
    <xf numFmtId="0" fontId="0" fillId="9" borderId="0" xfId="0" applyFill="1" applyProtection="1">
      <protection locked="0"/>
    </xf>
    <xf numFmtId="10" fontId="0" fillId="5" borderId="4" xfId="0" applyNumberFormat="1" applyFill="1" applyBorder="1"/>
    <xf numFmtId="10" fontId="0" fillId="5" borderId="6" xfId="0" applyNumberFormat="1" applyFill="1" applyBorder="1"/>
    <xf numFmtId="10" fontId="0" fillId="5" borderId="9" xfId="0" applyNumberFormat="1" applyFill="1" applyBorder="1"/>
    <xf numFmtId="1" fontId="1" fillId="0" borderId="0" xfId="0" applyNumberFormat="1" applyFont="1" applyFill="1"/>
    <xf numFmtId="0" fontId="2" fillId="0" borderId="0" xfId="0" applyFont="1" applyFill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165" fontId="6" fillId="3" borderId="1" xfId="0" applyNumberFormat="1" applyFont="1" applyFill="1" applyBorder="1"/>
    <xf numFmtId="167" fontId="2" fillId="4" borderId="0" xfId="0" applyNumberFormat="1" applyFont="1" applyFill="1"/>
    <xf numFmtId="1" fontId="1" fillId="13" borderId="0" xfId="0" applyNumberFormat="1" applyFont="1" applyFill="1"/>
    <xf numFmtId="0" fontId="7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0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6" fillId="0" borderId="6" xfId="0" applyFont="1" applyBorder="1"/>
    <xf numFmtId="165" fontId="6" fillId="0" borderId="6" xfId="0" applyNumberFormat="1" applyFont="1" applyBorder="1" applyAlignment="1">
      <alignment horizontal="right"/>
    </xf>
    <xf numFmtId="165" fontId="6" fillId="0" borderId="0" xfId="0" applyNumberFormat="1" applyFont="1" applyBorder="1"/>
    <xf numFmtId="165" fontId="6" fillId="0" borderId="6" xfId="0" applyNumberFormat="1" applyFont="1" applyBorder="1"/>
    <xf numFmtId="165" fontId="6" fillId="0" borderId="5" xfId="0" applyNumberFormat="1" applyFont="1" applyBorder="1"/>
    <xf numFmtId="165" fontId="6" fillId="3" borderId="0" xfId="0" applyNumberFormat="1" applyFont="1" applyFill="1" applyBorder="1"/>
    <xf numFmtId="172" fontId="6" fillId="0" borderId="0" xfId="0" applyNumberFormat="1" applyFont="1"/>
    <xf numFmtId="0" fontId="6" fillId="0" borderId="12" xfId="0" applyFont="1" applyBorder="1"/>
    <xf numFmtId="0" fontId="6" fillId="0" borderId="8" xfId="0" applyFont="1" applyBorder="1"/>
    <xf numFmtId="0" fontId="6" fillId="0" borderId="9" xfId="0" applyFont="1" applyBorder="1"/>
    <xf numFmtId="171" fontId="6" fillId="0" borderId="0" xfId="0" applyNumberFormat="1" applyFont="1"/>
    <xf numFmtId="167" fontId="0" fillId="0" borderId="0" xfId="0" applyNumberFormat="1"/>
    <xf numFmtId="0" fontId="6" fillId="0" borderId="7" xfId="0" applyFont="1" applyBorder="1"/>
    <xf numFmtId="0" fontId="7" fillId="0" borderId="5" xfId="0" applyFont="1" applyBorder="1"/>
    <xf numFmtId="171" fontId="7" fillId="0" borderId="5" xfId="0" applyNumberFormat="1" applyFont="1" applyBorder="1"/>
    <xf numFmtId="172" fontId="6" fillId="0" borderId="0" xfId="0" applyNumberFormat="1" applyFont="1" applyFill="1" applyBorder="1"/>
    <xf numFmtId="0" fontId="7" fillId="14" borderId="5" xfId="0" applyFont="1" applyFill="1" applyBorder="1" applyAlignment="1">
      <alignment horizontal="right"/>
    </xf>
    <xf numFmtId="0" fontId="7" fillId="14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2" fontId="6" fillId="14" borderId="5" xfId="0" applyNumberFormat="1" applyFont="1" applyFill="1" applyBorder="1"/>
    <xf numFmtId="171" fontId="6" fillId="14" borderId="0" xfId="0" applyNumberFormat="1" applyFont="1" applyFill="1" applyBorder="1"/>
    <xf numFmtId="171" fontId="6" fillId="0" borderId="0" xfId="0" applyNumberFormat="1" applyFont="1" applyBorder="1"/>
    <xf numFmtId="0" fontId="6" fillId="15" borderId="0" xfId="0" applyFont="1" applyFill="1" applyBorder="1"/>
    <xf numFmtId="167" fontId="6" fillId="3" borderId="0" xfId="0" applyNumberFormat="1" applyFont="1" applyFill="1" applyBorder="1"/>
    <xf numFmtId="167" fontId="6" fillId="0" borderId="0" xfId="0" applyNumberFormat="1" applyFont="1" applyBorder="1"/>
    <xf numFmtId="0" fontId="7" fillId="0" borderId="0" xfId="0" applyFont="1" applyBorder="1"/>
    <xf numFmtId="0" fontId="6" fillId="0" borderId="0" xfId="0" applyFont="1" applyFill="1" applyBorder="1"/>
    <xf numFmtId="167" fontId="6" fillId="0" borderId="0" xfId="0" applyNumberFormat="1" applyFont="1" applyFill="1" applyBorder="1"/>
    <xf numFmtId="172" fontId="15" fillId="0" borderId="0" xfId="0" applyNumberFormat="1" applyFont="1" applyBorder="1" applyAlignment="1">
      <alignment horizontal="right"/>
    </xf>
    <xf numFmtId="164" fontId="6" fillId="3" borderId="0" xfId="0" applyNumberFormat="1" applyFont="1" applyFill="1" applyBorder="1"/>
    <xf numFmtId="171" fontId="15" fillId="0" borderId="0" xfId="0" applyNumberFormat="1" applyFont="1" applyBorder="1"/>
    <xf numFmtId="173" fontId="6" fillId="0" borderId="0" xfId="0" applyNumberFormat="1" applyFont="1" applyBorder="1"/>
    <xf numFmtId="171" fontId="7" fillId="0" borderId="0" xfId="0" applyNumberFormat="1" applyFont="1" applyBorder="1"/>
    <xf numFmtId="0" fontId="2" fillId="0" borderId="6" xfId="0" applyFont="1" applyBorder="1"/>
    <xf numFmtId="171" fontId="6" fillId="0" borderId="8" xfId="0" applyNumberFormat="1" applyFont="1" applyBorder="1"/>
    <xf numFmtId="165" fontId="6" fillId="0" borderId="8" xfId="0" applyNumberFormat="1" applyFont="1" applyBorder="1"/>
    <xf numFmtId="1" fontId="6" fillId="0" borderId="8" xfId="0" applyNumberFormat="1" applyFont="1" applyBorder="1"/>
    <xf numFmtId="164" fontId="6" fillId="0" borderId="0" xfId="0" applyNumberFormat="1" applyFont="1"/>
    <xf numFmtId="0" fontId="6" fillId="0" borderId="0" xfId="0" applyFont="1" applyAlignment="1">
      <alignment horizontal="right" wrapText="1"/>
    </xf>
    <xf numFmtId="0" fontId="6" fillId="15" borderId="0" xfId="0" applyFont="1" applyFill="1"/>
    <xf numFmtId="0" fontId="0" fillId="15" borderId="0" xfId="0" applyFill="1"/>
    <xf numFmtId="0" fontId="7" fillId="0" borderId="0" xfId="0" applyFont="1" applyBorder="1" applyAlignment="1">
      <alignment horizontal="left"/>
    </xf>
    <xf numFmtId="10" fontId="7" fillId="0" borderId="5" xfId="0" applyNumberFormat="1" applyFont="1" applyBorder="1"/>
    <xf numFmtId="10" fontId="7" fillId="0" borderId="0" xfId="0" applyNumberFormat="1" applyFont="1" applyBorder="1"/>
    <xf numFmtId="0" fontId="0" fillId="6" borderId="0" xfId="0" applyFill="1" applyAlignment="1">
      <alignment horizontal="right"/>
    </xf>
    <xf numFmtId="165" fontId="6" fillId="0" borderId="0" xfId="0" applyNumberFormat="1" applyFont="1" applyFill="1" applyBorder="1"/>
    <xf numFmtId="10" fontId="7" fillId="0" borderId="0" xfId="0" applyNumberFormat="1" applyFont="1" applyFill="1" applyBorder="1"/>
    <xf numFmtId="165" fontId="6" fillId="0" borderId="0" xfId="0" applyNumberFormat="1" applyFont="1" applyFill="1" applyBorder="1" applyAlignment="1">
      <alignment wrapText="1"/>
    </xf>
    <xf numFmtId="9" fontId="6" fillId="0" borderId="5" xfId="0" applyNumberFormat="1" applyFont="1" applyBorder="1"/>
    <xf numFmtId="9" fontId="6" fillId="0" borderId="0" xfId="0" applyNumberFormat="1" applyFont="1" applyBorder="1"/>
    <xf numFmtId="165" fontId="7" fillId="16" borderId="0" xfId="0" applyNumberFormat="1" applyFont="1" applyFill="1" applyBorder="1"/>
    <xf numFmtId="10" fontId="7" fillId="16" borderId="0" xfId="0" applyNumberFormat="1" applyFont="1" applyFill="1" applyBorder="1"/>
    <xf numFmtId="164" fontId="6" fillId="0" borderId="0" xfId="0" applyNumberFormat="1" applyFont="1" applyBorder="1"/>
    <xf numFmtId="164" fontId="6" fillId="0" borderId="0" xfId="0" applyNumberFormat="1" applyFont="1" applyFill="1" applyBorder="1"/>
    <xf numFmtId="167" fontId="7" fillId="0" borderId="0" xfId="0" applyNumberFormat="1" applyFont="1" applyBorder="1" applyAlignment="1">
      <alignment horizontal="right"/>
    </xf>
    <xf numFmtId="164" fontId="0" fillId="0" borderId="0" xfId="0" applyNumberFormat="1"/>
    <xf numFmtId="0" fontId="6" fillId="0" borderId="0" xfId="0" applyFont="1" applyBorder="1" applyAlignment="1">
      <alignment wrapText="1"/>
    </xf>
    <xf numFmtId="171" fontId="7" fillId="3" borderId="0" xfId="0" applyNumberFormat="1" applyFont="1" applyFill="1" applyBorder="1"/>
    <xf numFmtId="171" fontId="6" fillId="3" borderId="0" xfId="0" applyNumberFormat="1" applyFont="1" applyFill="1" applyBorder="1"/>
    <xf numFmtId="171" fontId="2" fillId="4" borderId="0" xfId="0" applyNumberFormat="1" applyFont="1" applyFill="1"/>
    <xf numFmtId="0" fontId="2" fillId="16" borderId="0" xfId="0" applyFont="1" applyFill="1"/>
    <xf numFmtId="0" fontId="0" fillId="16" borderId="0" xfId="0" applyFill="1"/>
    <xf numFmtId="164" fontId="2" fillId="4" borderId="0" xfId="0" applyNumberFormat="1" applyFont="1" applyFill="1"/>
    <xf numFmtId="0" fontId="6" fillId="0" borderId="0" xfId="0" applyFont="1" applyFill="1" applyBorder="1" applyAlignment="1">
      <alignment horizontal="right"/>
    </xf>
    <xf numFmtId="171" fontId="6" fillId="0" borderId="0" xfId="0" applyNumberFormat="1" applyFont="1" applyFill="1" applyBorder="1"/>
    <xf numFmtId="171" fontId="6" fillId="16" borderId="0" xfId="0" applyNumberFormat="1" applyFont="1" applyFill="1" applyBorder="1"/>
    <xf numFmtId="168" fontId="0" fillId="0" borderId="0" xfId="0" applyNumberFormat="1"/>
    <xf numFmtId="164" fontId="7" fillId="0" borderId="0" xfId="0" applyNumberFormat="1" applyFont="1" applyFill="1" applyBorder="1"/>
    <xf numFmtId="168" fontId="6" fillId="0" borderId="0" xfId="0" applyNumberFormat="1" applyFont="1"/>
    <xf numFmtId="167" fontId="6" fillId="0" borderId="0" xfId="0" applyNumberFormat="1" applyFont="1"/>
    <xf numFmtId="10" fontId="6" fillId="16" borderId="0" xfId="0" applyNumberFormat="1" applyFont="1" applyFill="1"/>
    <xf numFmtId="0" fontId="0" fillId="9" borderId="0" xfId="0" applyFill="1" applyBorder="1" applyAlignment="1">
      <alignment horizontal="right"/>
    </xf>
    <xf numFmtId="0" fontId="0" fillId="9" borderId="0" xfId="0" applyFill="1" applyBorder="1"/>
    <xf numFmtId="0" fontId="0" fillId="0" borderId="5" xfId="0" applyFill="1" applyBorder="1"/>
    <xf numFmtId="0" fontId="1" fillId="12" borderId="0" xfId="0" applyFont="1" applyFill="1" applyProtection="1">
      <protection locked="0"/>
    </xf>
    <xf numFmtId="164" fontId="0" fillId="5" borderId="6" xfId="0" applyNumberFormat="1" applyFill="1" applyBorder="1"/>
    <xf numFmtId="10" fontId="0" fillId="5" borderId="0" xfId="0" applyNumberFormat="1" applyFill="1" applyBorder="1"/>
    <xf numFmtId="10" fontId="0" fillId="2" borderId="0" xfId="0" applyNumberFormat="1" applyFill="1"/>
    <xf numFmtId="10" fontId="0" fillId="4" borderId="0" xfId="0" applyNumberFormat="1" applyFill="1"/>
    <xf numFmtId="2" fontId="0" fillId="3" borderId="0" xfId="0" applyNumberFormat="1" applyFill="1"/>
    <xf numFmtId="0" fontId="7" fillId="0" borderId="1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171" fontId="0" fillId="0" borderId="0" xfId="0" applyNumberFormat="1"/>
    <xf numFmtId="175" fontId="7" fillId="16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90148453665515E-2"/>
          <c:y val="4.1666666666666664E-2"/>
          <c:w val="0.72362102885287483"/>
          <c:h val="0.7831185874492960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Extended!$C$40</c:f>
              <c:strCache>
                <c:ptCount val="1"/>
                <c:pt idx="0">
                  <c:v>d(y)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Extended!$C$41:$C$81</c:f>
              <c:numCache>
                <c:formatCode>0.0000</c:formatCode>
                <c:ptCount val="41"/>
                <c:pt idx="0">
                  <c:v>0.48414999153465033</c:v>
                </c:pt>
                <c:pt idx="1">
                  <c:v>0.33853125059977174</c:v>
                </c:pt>
                <c:pt idx="2">
                  <c:v>0.21346874884329736</c:v>
                </c:pt>
                <c:pt idx="3">
                  <c:v>0.12477499956730753</c:v>
                </c:pt>
                <c:pt idx="4">
                  <c:v>7.0725003024563193E-2</c:v>
                </c:pt>
                <c:pt idx="5">
                  <c:v>3.6440624680835754E-2</c:v>
                </c:pt>
                <c:pt idx="6">
                  <c:v>1.7393750240444206E-2</c:v>
                </c:pt>
                <c:pt idx="7">
                  <c:v>7.8343752466025762E-3</c:v>
                </c:pt>
                <c:pt idx="8">
                  <c:v>4.0250001075037289E-3</c:v>
                </c:pt>
                <c:pt idx="9">
                  <c:v>1.7968750853469828E-3</c:v>
                </c:pt>
                <c:pt idx="10">
                  <c:v>1.1499999709485564E-3</c:v>
                </c:pt>
                <c:pt idx="11">
                  <c:v>5.7499998547427822E-4</c:v>
                </c:pt>
                <c:pt idx="12">
                  <c:v>5.7499998547427822E-4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5.7499998547427822E-4</c:v>
                </c:pt>
                <c:pt idx="20">
                  <c:v>5.7499998547427822E-4</c:v>
                </c:pt>
                <c:pt idx="21">
                  <c:v>1.3656250439453288E-3</c:v>
                </c:pt>
                <c:pt idx="22">
                  <c:v>2.2999999418971129E-3</c:v>
                </c:pt>
                <c:pt idx="23">
                  <c:v>3.5218750417698175E-3</c:v>
                </c:pt>
                <c:pt idx="24">
                  <c:v>5.7499998547427822E-3</c:v>
                </c:pt>
                <c:pt idx="25">
                  <c:v>9.0562503464752808E-3</c:v>
                </c:pt>
                <c:pt idx="26">
                  <c:v>1.1931249646295328E-2</c:v>
                </c:pt>
                <c:pt idx="27">
                  <c:v>1.2650000098801684E-2</c:v>
                </c:pt>
                <c:pt idx="28">
                  <c:v>1.1212500030524097E-2</c:v>
                </c:pt>
                <c:pt idx="29">
                  <c:v>7.6187502781976946E-3</c:v>
                </c:pt>
                <c:pt idx="30">
                  <c:v>4.8874999811232556E-3</c:v>
                </c:pt>
                <c:pt idx="31">
                  <c:v>2.8031250076310243E-3</c:v>
                </c:pt>
                <c:pt idx="32">
                  <c:v>1.1499999709485564E-3</c:v>
                </c:pt>
                <c:pt idx="33">
                  <c:v>5.7499998547427822E-4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2-49DC-866B-74C45BB50441}"/>
            </c:ext>
          </c:extLst>
        </c:ser>
        <c:ser>
          <c:idx val="2"/>
          <c:order val="1"/>
          <c:tx>
            <c:strRef>
              <c:f>Extended!$D$40</c:f>
              <c:strCache>
                <c:ptCount val="1"/>
                <c:pt idx="0">
                  <c:v>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Extended!$D$41:$D$81</c:f>
              <c:numCache>
                <c:formatCode>0.000</c:formatCode>
                <c:ptCount val="41"/>
                <c:pt idx="0">
                  <c:v>0</c:v>
                </c:pt>
                <c:pt idx="1">
                  <c:v>2.6554662734270096E-2</c:v>
                </c:pt>
                <c:pt idx="2">
                  <c:v>4.1984621435403824E-2</c:v>
                </c:pt>
                <c:pt idx="3">
                  <c:v>5.5092282593250275E-2</c:v>
                </c:pt>
                <c:pt idx="4">
                  <c:v>6.6827505826950073E-2</c:v>
                </c:pt>
                <c:pt idx="5">
                  <c:v>7.8280352056026459E-2</c:v>
                </c:pt>
                <c:pt idx="6">
                  <c:v>8.9591465890407562E-2</c:v>
                </c:pt>
                <c:pt idx="7">
                  <c:v>0.10113465785980225</c:v>
                </c:pt>
                <c:pt idx="8">
                  <c:v>0.11301622539758682</c:v>
                </c:pt>
                <c:pt idx="9">
                  <c:v>0.12533590197563171</c:v>
                </c:pt>
                <c:pt idx="10">
                  <c:v>0.1379811018705368</c:v>
                </c:pt>
                <c:pt idx="11">
                  <c:v>0.15102468430995941</c:v>
                </c:pt>
                <c:pt idx="12">
                  <c:v>0.16562047600746155</c:v>
                </c:pt>
                <c:pt idx="13">
                  <c:v>0.18246252834796906</c:v>
                </c:pt>
                <c:pt idx="14">
                  <c:v>0.20173265039920807</c:v>
                </c:pt>
                <c:pt idx="15">
                  <c:v>0.22205480933189392</c:v>
                </c:pt>
                <c:pt idx="16">
                  <c:v>0.24274387955665588</c:v>
                </c:pt>
                <c:pt idx="17">
                  <c:v>0.26406961679458618</c:v>
                </c:pt>
                <c:pt idx="18">
                  <c:v>0.28885355591773987</c:v>
                </c:pt>
                <c:pt idx="19">
                  <c:v>0.32836383581161499</c:v>
                </c:pt>
                <c:pt idx="20">
                  <c:v>0.34192520380020142</c:v>
                </c:pt>
                <c:pt idx="21">
                  <c:v>0.32836383581161499</c:v>
                </c:pt>
                <c:pt idx="22">
                  <c:v>0.28885355591773987</c:v>
                </c:pt>
                <c:pt idx="23">
                  <c:v>0.26406961679458618</c:v>
                </c:pt>
                <c:pt idx="24">
                  <c:v>0.24274387955665588</c:v>
                </c:pt>
                <c:pt idx="25">
                  <c:v>0.22205480933189392</c:v>
                </c:pt>
                <c:pt idx="26">
                  <c:v>0.20173265039920807</c:v>
                </c:pt>
                <c:pt idx="27">
                  <c:v>0.18246252834796906</c:v>
                </c:pt>
                <c:pt idx="28">
                  <c:v>0.16562047600746155</c:v>
                </c:pt>
                <c:pt idx="29">
                  <c:v>0.15102468430995941</c:v>
                </c:pt>
                <c:pt idx="30">
                  <c:v>0.1379811018705368</c:v>
                </c:pt>
                <c:pt idx="31">
                  <c:v>0.12533590197563171</c:v>
                </c:pt>
                <c:pt idx="32">
                  <c:v>0.11301622539758682</c:v>
                </c:pt>
                <c:pt idx="33">
                  <c:v>0.10113465785980225</c:v>
                </c:pt>
                <c:pt idx="34">
                  <c:v>8.9591465890407562E-2</c:v>
                </c:pt>
                <c:pt idx="35">
                  <c:v>7.8280352056026459E-2</c:v>
                </c:pt>
                <c:pt idx="36">
                  <c:v>6.6827505826950073E-2</c:v>
                </c:pt>
                <c:pt idx="37">
                  <c:v>5.5092282593250275E-2</c:v>
                </c:pt>
                <c:pt idx="38">
                  <c:v>4.1984621435403824E-2</c:v>
                </c:pt>
                <c:pt idx="39">
                  <c:v>2.6554662734270096E-2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2-49DC-866B-74C45BB50441}"/>
            </c:ext>
          </c:extLst>
        </c:ser>
        <c:ser>
          <c:idx val="3"/>
          <c:order val="2"/>
          <c:tx>
            <c:strRef>
              <c:f>Extended!$E$40</c:f>
              <c:strCache>
                <c:ptCount val="1"/>
                <c:pt idx="0">
                  <c:v>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Extended!$E$41:$E$81</c:f>
              <c:numCache>
                <c:formatCode>0.000</c:formatCode>
                <c:ptCount val="41"/>
                <c:pt idx="0">
                  <c:v>0</c:v>
                </c:pt>
                <c:pt idx="1">
                  <c:v>1.9602416083216667E-2</c:v>
                </c:pt>
                <c:pt idx="2">
                  <c:v>2.7396438643336296E-2</c:v>
                </c:pt>
                <c:pt idx="3">
                  <c:v>3.3547449856996536E-2</c:v>
                </c:pt>
                <c:pt idx="4">
                  <c:v>3.8919501006603241E-2</c:v>
                </c:pt>
                <c:pt idx="5">
                  <c:v>4.3951552361249924E-2</c:v>
                </c:pt>
                <c:pt idx="6">
                  <c:v>4.8888605087995529E-2</c:v>
                </c:pt>
                <c:pt idx="7">
                  <c:v>5.3945157676935196E-2</c:v>
                </c:pt>
                <c:pt idx="8">
                  <c:v>5.9303048998117447E-2</c:v>
                </c:pt>
                <c:pt idx="9">
                  <c:v>6.5125346183776855E-2</c:v>
                </c:pt>
                <c:pt idx="10">
                  <c:v>7.1515820920467377E-2</c:v>
                </c:pt>
                <c:pt idx="11">
                  <c:v>7.8692197799682617E-2</c:v>
                </c:pt>
                <c:pt idx="12">
                  <c:v>8.76573845744133E-2</c:v>
                </c:pt>
                <c:pt idx="13">
                  <c:v>9.8898351192474365E-2</c:v>
                </c:pt>
                <c:pt idx="14">
                  <c:v>0.11266974359750748</c:v>
                </c:pt>
                <c:pt idx="15">
                  <c:v>0.12880250811576843</c:v>
                </c:pt>
                <c:pt idx="16">
                  <c:v>0.14694321155548096</c:v>
                </c:pt>
                <c:pt idx="17">
                  <c:v>0.16735810041427612</c:v>
                </c:pt>
                <c:pt idx="18">
                  <c:v>0.19240063428878784</c:v>
                </c:pt>
                <c:pt idx="19">
                  <c:v>0.23230086266994476</c:v>
                </c:pt>
                <c:pt idx="20">
                  <c:v>0.2486354261636734</c:v>
                </c:pt>
                <c:pt idx="21">
                  <c:v>0.23230086266994476</c:v>
                </c:pt>
                <c:pt idx="22">
                  <c:v>0.19240063428878784</c:v>
                </c:pt>
                <c:pt idx="23">
                  <c:v>0.16735810041427612</c:v>
                </c:pt>
                <c:pt idx="24">
                  <c:v>0.14694321155548096</c:v>
                </c:pt>
                <c:pt idx="25">
                  <c:v>0.12880250811576843</c:v>
                </c:pt>
                <c:pt idx="26">
                  <c:v>0.11266974359750748</c:v>
                </c:pt>
                <c:pt idx="27">
                  <c:v>9.8898343741893768E-2</c:v>
                </c:pt>
                <c:pt idx="28">
                  <c:v>8.76573845744133E-2</c:v>
                </c:pt>
                <c:pt idx="29">
                  <c:v>7.8692197799682617E-2</c:v>
                </c:pt>
                <c:pt idx="30">
                  <c:v>7.1515820920467377E-2</c:v>
                </c:pt>
                <c:pt idx="31">
                  <c:v>6.5125346183776855E-2</c:v>
                </c:pt>
                <c:pt idx="32">
                  <c:v>5.9303048998117447E-2</c:v>
                </c:pt>
                <c:pt idx="33">
                  <c:v>5.3945157676935196E-2</c:v>
                </c:pt>
                <c:pt idx="34">
                  <c:v>4.8888605087995529E-2</c:v>
                </c:pt>
                <c:pt idx="35">
                  <c:v>4.3951552361249924E-2</c:v>
                </c:pt>
                <c:pt idx="36">
                  <c:v>3.8919501006603241E-2</c:v>
                </c:pt>
                <c:pt idx="37">
                  <c:v>3.3547449856996536E-2</c:v>
                </c:pt>
                <c:pt idx="38">
                  <c:v>2.7396438643336296E-2</c:v>
                </c:pt>
                <c:pt idx="39">
                  <c:v>1.9602416083216667E-2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97888"/>
        <c:axId val="162600064"/>
      </c:scatterChart>
      <c:scatterChart>
        <c:scatterStyle val="smoothMarker"/>
        <c:varyColors val="0"/>
        <c:ser>
          <c:idx val="0"/>
          <c:order val="3"/>
          <c:tx>
            <c:strRef>
              <c:f>Extended!$F$40</c:f>
              <c:strCache>
                <c:ptCount val="1"/>
                <c:pt idx="0">
                  <c:v>d(y) 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Extended!$F$41:$F$81</c:f>
              <c:numCache>
                <c:formatCode>0.0000</c:formatCode>
                <c:ptCount val="41"/>
                <c:pt idx="0">
                  <c:v>0</c:v>
                </c:pt>
                <c:pt idx="1">
                  <c:v>8.9895831846876096E-3</c:v>
                </c:pt>
                <c:pt idx="2">
                  <c:v>8.9624046084751385E-3</c:v>
                </c:pt>
                <c:pt idx="3">
                  <c:v>6.8741395367347873E-3</c:v>
                </c:pt>
                <c:pt idx="4">
                  <c:v>4.7263755517350584E-3</c:v>
                </c:pt>
                <c:pt idx="5">
                  <c:v>2.8525849291573496E-3</c:v>
                </c:pt>
                <c:pt idx="6">
                  <c:v>1.5583315813730253E-3</c:v>
                </c:pt>
                <c:pt idx="7">
                  <c:v>7.923268601104554E-4</c:v>
                </c:pt>
                <c:pt idx="8">
                  <c:v>4.5489031937495259E-4</c:v>
                </c:pt>
                <c:pt idx="9">
                  <c:v>2.2521295955950431E-4</c:v>
                </c:pt>
                <c:pt idx="10">
                  <c:v>1.5867826314256713E-4</c:v>
                </c:pt>
                <c:pt idx="11">
                  <c:v>8.6839191284484115E-5</c:v>
                </c:pt>
                <c:pt idx="12">
                  <c:v>9.5231771298533434E-5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1.888092008219569E-4</c:v>
                </c:pt>
                <c:pt idx="20">
                  <c:v>1.9660698721840543E-4</c:v>
                </c:pt>
                <c:pt idx="21">
                  <c:v>4.4842187771029345E-4</c:v>
                </c:pt>
                <c:pt idx="22">
                  <c:v>6.6436316182757614E-4</c:v>
                </c:pt>
                <c:pt idx="23">
                  <c:v>9.300201926785729E-4</c:v>
                </c:pt>
                <c:pt idx="24">
                  <c:v>1.3957772721904706E-3</c:v>
                </c:pt>
                <c:pt idx="25">
                  <c:v>2.0109839439484667E-3</c:v>
                </c:pt>
                <c:pt idx="26">
                  <c:v>2.4069226137217702E-3</c:v>
                </c:pt>
                <c:pt idx="27">
                  <c:v>2.3081510016294137E-3</c:v>
                </c:pt>
                <c:pt idx="28">
                  <c:v>1.8570195922890781E-3</c:v>
                </c:pt>
                <c:pt idx="29">
                  <c:v>1.1506193556012224E-3</c:v>
                </c:pt>
                <c:pt idx="30">
                  <c:v>6.7438263278761469E-4</c:v>
                </c:pt>
                <c:pt idx="31">
                  <c:v>3.5133220118188397E-4</c:v>
                </c:pt>
                <c:pt idx="32">
                  <c:v>1.2996865592394035E-4</c:v>
                </c:pt>
                <c:pt idx="33">
                  <c:v>5.8152426800332389E-5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2-49DC-866B-74C45BB50441}"/>
            </c:ext>
          </c:extLst>
        </c:ser>
        <c:ser>
          <c:idx val="4"/>
          <c:order val="4"/>
          <c:tx>
            <c:strRef>
              <c:f>Extended!$G$40</c:f>
              <c:strCache>
                <c:ptCount val="1"/>
                <c:pt idx="0">
                  <c:v>d(y) 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Extended!$G$41:$G$81</c:f>
              <c:numCache>
                <c:formatCode>0.0000</c:formatCode>
                <c:ptCount val="41"/>
                <c:pt idx="0">
                  <c:v>0</c:v>
                </c:pt>
                <c:pt idx="1">
                  <c:v>6.6360304314284175E-3</c:v>
                </c:pt>
                <c:pt idx="2">
                  <c:v>5.8482834799551617E-3</c:v>
                </c:pt>
                <c:pt idx="3">
                  <c:v>4.1858830413910135E-3</c:v>
                </c:pt>
                <c:pt idx="4">
                  <c:v>2.7525818264065045E-3</c:v>
                </c:pt>
                <c:pt idx="5">
                  <c:v>1.6016220237364089E-3</c:v>
                </c:pt>
                <c:pt idx="6">
                  <c:v>8.50356186504304E-4</c:v>
                </c:pt>
                <c:pt idx="7">
                  <c:v>4.2262660797825406E-4</c:v>
                </c:pt>
                <c:pt idx="8">
                  <c:v>2.3869477859272162E-4</c:v>
                </c:pt>
                <c:pt idx="9">
                  <c:v>1.1702211198222584E-4</c:v>
                </c:pt>
                <c:pt idx="10">
                  <c:v>8.2243191980899648E-5</c:v>
                </c:pt>
                <c:pt idx="11">
                  <c:v>4.5248012591756533E-5</c:v>
                </c:pt>
                <c:pt idx="12">
                  <c:v>5.0402994857000867E-5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1.3357299266088054E-4</c:v>
                </c:pt>
                <c:pt idx="20">
                  <c:v>1.4296536643250318E-4</c:v>
                </c:pt>
                <c:pt idx="21">
                  <c:v>3.1723587579218109E-4</c:v>
                </c:pt>
                <c:pt idx="22">
                  <c:v>4.425214476851797E-4</c:v>
                </c:pt>
                <c:pt idx="23">
                  <c:v>5.8941431688704603E-4</c:v>
                </c:pt>
                <c:pt idx="24">
                  <c:v>8.4492344509945342E-4</c:v>
                </c:pt>
                <c:pt idx="25">
                  <c:v>1.166467758750313E-3</c:v>
                </c:pt>
                <c:pt idx="26">
                  <c:v>1.3442908384459463E-3</c:v>
                </c:pt>
                <c:pt idx="27">
                  <c:v>1.251064058106279E-3</c:v>
                </c:pt>
                <c:pt idx="28">
                  <c:v>9.8285842721627156E-4</c:v>
                </c:pt>
                <c:pt idx="29">
                  <c:v>5.9953620387831995E-4</c:v>
                </c:pt>
                <c:pt idx="30">
                  <c:v>3.4953357339879846E-4</c:v>
                </c:pt>
                <c:pt idx="31">
                  <c:v>1.825544865183726E-4</c:v>
                </c:pt>
                <c:pt idx="32">
                  <c:v>6.8198504624995883E-5</c:v>
                </c:pt>
                <c:pt idx="33">
                  <c:v>3.1018464880645386E-5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01600"/>
        <c:axId val="162603392"/>
      </c:scatterChart>
      <c:valAx>
        <c:axId val="16259788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2600064"/>
        <c:crosses val="autoZero"/>
        <c:crossBetween val="midCat"/>
        <c:majorUnit val="0.2"/>
      </c:valAx>
      <c:valAx>
        <c:axId val="162600064"/>
        <c:scaling>
          <c:orientation val="minMax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one"/>
        <c:crossAx val="162597888"/>
        <c:crossesAt val="0"/>
        <c:crossBetween val="midCat"/>
      </c:valAx>
      <c:valAx>
        <c:axId val="1626016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603392"/>
        <c:crossesAt val="0"/>
        <c:crossBetween val="midCat"/>
      </c:valAx>
      <c:valAx>
        <c:axId val="162603392"/>
        <c:scaling>
          <c:orientation val="minMax"/>
          <c:min val="0"/>
        </c:scaling>
        <c:delete val="0"/>
        <c:axPos val="r"/>
        <c:numFmt formatCode="0.0000" sourceLinked="1"/>
        <c:majorTickMark val="none"/>
        <c:minorTickMark val="none"/>
        <c:tickLblPos val="none"/>
        <c:crossAx val="162601600"/>
        <c:crosses val="max"/>
        <c:crossBetween val="midCat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805545662357901"/>
          <c:y val="0.21616162898992464"/>
          <c:w val="0.21194454337642113"/>
          <c:h val="0.610687071374142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361951</xdr:colOff>
      <xdr:row>56</xdr:row>
      <xdr:rowOff>133350</xdr:rowOff>
    </xdr:from>
    <xdr:to>
      <xdr:col>14</xdr:col>
      <xdr:colOff>504825</xdr:colOff>
      <xdr:row>71</xdr:row>
      <xdr:rowOff>66675</xdr:rowOff>
    </xdr:to>
    <xdr:graphicFrame macro="">
      <xdr:nvGraphicFramePr>
        <xdr:cNvPr id="1077" name="Chart 1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7"/>
  <sheetViews>
    <sheetView view="pageBreakPreview" topLeftCell="A4" zoomScale="85" zoomScaleNormal="75" zoomScaleSheetLayoutView="85" workbookViewId="0">
      <selection activeCell="C12" sqref="C12"/>
    </sheetView>
  </sheetViews>
  <sheetFormatPr defaultRowHeight="12.3" x14ac:dyDescent="0.4"/>
  <cols>
    <col min="1" max="1" width="32.71875" customWidth="1"/>
    <col min="2" max="2" width="11.5546875" customWidth="1"/>
    <col min="3" max="3" width="11.44140625" customWidth="1"/>
    <col min="4" max="15" width="7.71875" customWidth="1"/>
    <col min="18" max="18" width="9.71875" customWidth="1"/>
  </cols>
  <sheetData>
    <row r="1" spans="1:12" x14ac:dyDescent="0.4">
      <c r="A1" s="1" t="s">
        <v>149</v>
      </c>
      <c r="B1" s="1"/>
      <c r="E1" s="37"/>
      <c r="F1" t="str">
        <f>"used in overall collision risk sheet"</f>
        <v>used in overall collision risk sheet</v>
      </c>
    </row>
    <row r="2" spans="1:12" x14ac:dyDescent="0.4">
      <c r="A2" s="1" t="s">
        <v>148</v>
      </c>
      <c r="B2" s="1"/>
      <c r="E2" s="38"/>
      <c r="F2" t="s">
        <v>209</v>
      </c>
    </row>
    <row r="3" spans="1:12" x14ac:dyDescent="0.4">
      <c r="A3" s="1"/>
      <c r="B3" s="1"/>
      <c r="E3" s="39"/>
      <c r="F3" t="s">
        <v>84</v>
      </c>
    </row>
    <row r="4" spans="1:12" x14ac:dyDescent="0.4">
      <c r="A4" s="1"/>
      <c r="B4" s="1"/>
      <c r="E4" s="56"/>
      <c r="F4" t="s">
        <v>102</v>
      </c>
    </row>
    <row r="5" spans="1:12" x14ac:dyDescent="0.4">
      <c r="A5" s="1"/>
      <c r="B5" s="1"/>
      <c r="E5" s="99"/>
      <c r="F5" t="s">
        <v>118</v>
      </c>
    </row>
    <row r="6" spans="1:12" x14ac:dyDescent="0.4">
      <c r="A6" s="1"/>
    </row>
    <row r="7" spans="1:12" ht="12.6" thickBot="1" x14ac:dyDescent="0.45">
      <c r="B7" s="75" t="s">
        <v>146</v>
      </c>
      <c r="C7" s="75" t="s">
        <v>147</v>
      </c>
      <c r="E7" s="107" t="s">
        <v>153</v>
      </c>
    </row>
    <row r="8" spans="1:12" x14ac:dyDescent="0.4">
      <c r="A8" s="58" t="s">
        <v>76</v>
      </c>
      <c r="B8" s="59"/>
      <c r="C8" s="66"/>
      <c r="D8" s="66"/>
      <c r="E8" s="66"/>
      <c r="F8" s="66"/>
      <c r="G8" s="66"/>
      <c r="H8" s="66"/>
      <c r="I8" s="66"/>
      <c r="J8" s="66"/>
      <c r="K8" s="66"/>
      <c r="L8" s="60"/>
    </row>
    <row r="9" spans="1:12" x14ac:dyDescent="0.4">
      <c r="A9" s="61" t="s">
        <v>32</v>
      </c>
      <c r="B9" s="99"/>
      <c r="C9" s="110" t="s">
        <v>57</v>
      </c>
      <c r="D9" s="40"/>
      <c r="E9" s="40"/>
      <c r="F9" s="40"/>
      <c r="G9" s="40"/>
      <c r="H9" s="40"/>
      <c r="I9" s="40"/>
      <c r="J9" s="40"/>
      <c r="K9" s="40"/>
      <c r="L9" s="71"/>
    </row>
    <row r="10" spans="1:12" x14ac:dyDescent="0.4">
      <c r="A10" s="61" t="s">
        <v>77</v>
      </c>
      <c r="B10" s="54" t="s">
        <v>21</v>
      </c>
      <c r="C10" s="108">
        <v>0.94</v>
      </c>
      <c r="D10" s="40"/>
      <c r="E10" s="40"/>
      <c r="F10" s="40"/>
      <c r="G10" s="40"/>
      <c r="H10" s="40"/>
      <c r="I10" s="40"/>
      <c r="J10" s="40"/>
      <c r="K10" s="40"/>
      <c r="L10" s="71"/>
    </row>
    <row r="11" spans="1:12" x14ac:dyDescent="0.4">
      <c r="A11" s="61" t="s">
        <v>2</v>
      </c>
      <c r="B11" s="54" t="s">
        <v>21</v>
      </c>
      <c r="C11" s="108">
        <v>1.72</v>
      </c>
      <c r="D11" s="40"/>
      <c r="E11" s="40"/>
      <c r="F11" s="40"/>
      <c r="G11" s="40"/>
      <c r="H11" s="40"/>
      <c r="I11" s="40"/>
      <c r="J11" s="40"/>
      <c r="K11" s="40"/>
      <c r="L11" s="71"/>
    </row>
    <row r="12" spans="1:12" x14ac:dyDescent="0.4">
      <c r="A12" s="61" t="s">
        <v>3</v>
      </c>
      <c r="B12" s="44" t="s">
        <v>22</v>
      </c>
      <c r="C12" s="41">
        <v>14.9</v>
      </c>
      <c r="D12" s="40"/>
      <c r="E12" s="40"/>
      <c r="F12" s="40"/>
      <c r="G12" s="40"/>
      <c r="H12" s="40"/>
      <c r="I12" s="40"/>
      <c r="J12" s="40"/>
      <c r="K12" s="40"/>
      <c r="L12" s="71"/>
    </row>
    <row r="13" spans="1:12" x14ac:dyDescent="0.4">
      <c r="A13" s="61" t="s">
        <v>74</v>
      </c>
      <c r="B13" s="42"/>
      <c r="C13" s="42">
        <v>3</v>
      </c>
      <c r="D13" s="40"/>
      <c r="E13" s="40"/>
      <c r="F13" s="40"/>
      <c r="G13" s="40"/>
      <c r="H13" s="40"/>
      <c r="I13" s="40"/>
      <c r="J13" s="40"/>
      <c r="K13" s="40"/>
      <c r="L13" s="71"/>
    </row>
    <row r="14" spans="1:12" ht="12.6" thickBot="1" x14ac:dyDescent="0.45">
      <c r="A14" s="64" t="s">
        <v>141</v>
      </c>
      <c r="B14" s="65"/>
      <c r="C14" s="109" t="s">
        <v>140</v>
      </c>
      <c r="D14" s="67"/>
      <c r="E14" s="67"/>
      <c r="F14" s="67"/>
      <c r="G14" s="67"/>
      <c r="H14" s="67"/>
      <c r="I14" s="67"/>
      <c r="J14" s="67"/>
      <c r="K14" s="67"/>
      <c r="L14" s="73"/>
    </row>
    <row r="16" spans="1:12" ht="12.6" thickBot="1" x14ac:dyDescent="0.45">
      <c r="E16" s="107" t="s">
        <v>153</v>
      </c>
    </row>
    <row r="17" spans="1:15" x14ac:dyDescent="0.4">
      <c r="A17" s="58" t="s">
        <v>96</v>
      </c>
      <c r="B17" s="59"/>
      <c r="C17" s="66"/>
      <c r="D17" s="66" t="s">
        <v>4</v>
      </c>
      <c r="E17" s="66" t="s">
        <v>5</v>
      </c>
      <c r="F17" s="66" t="s">
        <v>6</v>
      </c>
      <c r="G17" s="66" t="s">
        <v>7</v>
      </c>
      <c r="H17" s="66" t="s">
        <v>8</v>
      </c>
      <c r="I17" s="66" t="s">
        <v>9</v>
      </c>
      <c r="J17" s="66" t="s">
        <v>10</v>
      </c>
      <c r="K17" s="66" t="s">
        <v>11</v>
      </c>
      <c r="L17" s="66" t="s">
        <v>12</v>
      </c>
      <c r="M17" s="66" t="s">
        <v>13</v>
      </c>
      <c r="N17" s="66" t="s">
        <v>14</v>
      </c>
      <c r="O17" s="60" t="s">
        <v>15</v>
      </c>
    </row>
    <row r="18" spans="1:15" x14ac:dyDescent="0.4">
      <c r="A18" s="61" t="s">
        <v>143</v>
      </c>
      <c r="B18" s="46" t="s">
        <v>26</v>
      </c>
      <c r="C18" s="40"/>
      <c r="D18" s="42">
        <v>0.05</v>
      </c>
      <c r="E18" s="42">
        <v>0.47</v>
      </c>
      <c r="F18" s="42">
        <v>1.49</v>
      </c>
      <c r="G18" s="42">
        <v>1.4</v>
      </c>
      <c r="H18" s="42">
        <v>0.88</v>
      </c>
      <c r="I18" s="42">
        <v>1.04</v>
      </c>
      <c r="J18" s="42">
        <v>0.56999999999999995</v>
      </c>
      <c r="K18" s="42">
        <v>1.8</v>
      </c>
      <c r="L18" s="42">
        <v>2.79</v>
      </c>
      <c r="M18" s="42">
        <v>0.83</v>
      </c>
      <c r="N18" s="42">
        <v>0.5</v>
      </c>
      <c r="O18" s="62">
        <v>0.12</v>
      </c>
    </row>
    <row r="19" spans="1:15" x14ac:dyDescent="0.4">
      <c r="A19" s="61" t="s">
        <v>16</v>
      </c>
      <c r="B19" s="44" t="s">
        <v>24</v>
      </c>
      <c r="C19" s="226">
        <v>8.2799999999999999E-2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115"/>
    </row>
    <row r="20" spans="1:15" ht="12.6" thickBot="1" x14ac:dyDescent="0.45">
      <c r="A20" s="63" t="s">
        <v>152</v>
      </c>
      <c r="B20" s="109" t="s">
        <v>24</v>
      </c>
      <c r="C20" s="116">
        <v>0.5</v>
      </c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9"/>
    </row>
    <row r="21" spans="1:15" x14ac:dyDescent="0.4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ht="12.6" thickBot="1" x14ac:dyDescent="0.45">
      <c r="B22" s="75" t="s">
        <v>146</v>
      </c>
      <c r="C22" s="75" t="s">
        <v>147</v>
      </c>
      <c r="E22" s="107" t="s">
        <v>153</v>
      </c>
    </row>
    <row r="23" spans="1:15" x14ac:dyDescent="0.4">
      <c r="A23" s="58" t="s">
        <v>17</v>
      </c>
      <c r="B23" s="59"/>
      <c r="C23" s="66"/>
      <c r="D23" s="66"/>
      <c r="E23" s="66"/>
      <c r="F23" s="66"/>
      <c r="G23" s="66"/>
      <c r="H23" s="66"/>
      <c r="I23" s="66"/>
      <c r="J23" s="66"/>
      <c r="K23" s="66"/>
      <c r="L23" s="60"/>
    </row>
    <row r="24" spans="1:15" x14ac:dyDescent="0.4">
      <c r="A24" s="70" t="s">
        <v>129</v>
      </c>
      <c r="B24" s="90"/>
      <c r="C24" s="110" t="s">
        <v>210</v>
      </c>
      <c r="D24" s="40"/>
      <c r="E24" s="40"/>
      <c r="F24" s="40"/>
      <c r="G24" s="40"/>
      <c r="H24" s="40"/>
      <c r="I24" s="40"/>
      <c r="J24" s="40"/>
      <c r="K24" s="40"/>
      <c r="L24" s="71"/>
    </row>
    <row r="25" spans="1:15" x14ac:dyDescent="0.4">
      <c r="A25" s="61" t="s">
        <v>79</v>
      </c>
      <c r="B25" s="55" t="s">
        <v>85</v>
      </c>
      <c r="C25" s="111">
        <v>55.8</v>
      </c>
      <c r="D25" s="40"/>
      <c r="E25" s="40"/>
      <c r="F25" s="40"/>
      <c r="G25" s="40"/>
      <c r="H25" s="40"/>
      <c r="I25" s="40"/>
      <c r="J25" s="40"/>
      <c r="K25" s="40"/>
      <c r="L25" s="71"/>
    </row>
    <row r="26" spans="1:15" x14ac:dyDescent="0.4">
      <c r="A26" s="61" t="s">
        <v>18</v>
      </c>
      <c r="B26" s="42"/>
      <c r="C26" s="42">
        <v>200</v>
      </c>
      <c r="D26" s="40"/>
      <c r="E26" s="40"/>
      <c r="F26" s="40"/>
      <c r="G26" s="40"/>
      <c r="H26" s="40"/>
      <c r="I26" s="40"/>
      <c r="J26" s="40"/>
      <c r="K26" s="40"/>
      <c r="L26" s="71"/>
    </row>
    <row r="27" spans="1:15" x14ac:dyDescent="0.4">
      <c r="A27" s="223" t="s">
        <v>98</v>
      </c>
      <c r="B27" s="221" t="s">
        <v>101</v>
      </c>
      <c r="C27" s="222">
        <v>7.8</v>
      </c>
      <c r="D27" s="40"/>
      <c r="E27" s="40"/>
      <c r="F27" s="40"/>
      <c r="G27" s="40"/>
      <c r="H27" s="40"/>
      <c r="I27" s="40"/>
      <c r="J27" s="40"/>
      <c r="K27" s="40"/>
      <c r="L27" s="71"/>
    </row>
    <row r="28" spans="1:15" ht="12.6" thickBot="1" x14ac:dyDescent="0.45">
      <c r="A28" s="63" t="s">
        <v>168</v>
      </c>
      <c r="B28" s="65" t="s">
        <v>21</v>
      </c>
      <c r="C28" s="65">
        <v>2.5</v>
      </c>
      <c r="D28" s="67"/>
      <c r="E28" s="67"/>
      <c r="F28" s="67"/>
      <c r="G28" s="67"/>
      <c r="H28" s="67"/>
      <c r="I28" s="67"/>
      <c r="J28" s="67"/>
      <c r="K28" s="67"/>
      <c r="L28" s="73"/>
    </row>
    <row r="29" spans="1:15" x14ac:dyDescent="0.4">
      <c r="A29" s="49"/>
      <c r="B29" s="113"/>
      <c r="C29" s="49"/>
      <c r="D29" s="40"/>
      <c r="E29" s="40"/>
      <c r="F29" s="40"/>
      <c r="G29" s="40"/>
      <c r="H29" s="40"/>
      <c r="I29" s="40"/>
      <c r="J29" s="40"/>
      <c r="K29" s="40"/>
      <c r="L29" s="40"/>
    </row>
    <row r="30" spans="1:15" ht="12.6" thickBot="1" x14ac:dyDescent="0.45">
      <c r="B30" s="112" t="s">
        <v>146</v>
      </c>
      <c r="C30" s="112" t="s">
        <v>147</v>
      </c>
      <c r="E30" s="107" t="s">
        <v>153</v>
      </c>
    </row>
    <row r="31" spans="1:15" x14ac:dyDescent="0.4">
      <c r="A31" s="58" t="s">
        <v>82</v>
      </c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0"/>
    </row>
    <row r="32" spans="1:15" x14ac:dyDescent="0.4">
      <c r="A32" s="70" t="s">
        <v>86</v>
      </c>
      <c r="B32" s="90"/>
      <c r="C32" s="110" t="s">
        <v>211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71"/>
    </row>
    <row r="33" spans="1:21" ht="14.25" customHeight="1" x14ac:dyDescent="0.4">
      <c r="A33" s="61" t="s">
        <v>81</v>
      </c>
      <c r="B33" s="43"/>
      <c r="C33" s="43">
        <v>3</v>
      </c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71"/>
      <c r="Q33" s="74"/>
      <c r="R33" s="79"/>
      <c r="S33" s="74"/>
      <c r="T33" s="74"/>
      <c r="U33" s="74"/>
    </row>
    <row r="34" spans="1:21" x14ac:dyDescent="0.4">
      <c r="A34" s="61" t="s">
        <v>130</v>
      </c>
      <c r="B34" s="54" t="s">
        <v>131</v>
      </c>
      <c r="C34" s="43">
        <v>9.9</v>
      </c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71"/>
      <c r="R34" s="78"/>
    </row>
    <row r="35" spans="1:21" x14ac:dyDescent="0.4">
      <c r="A35" s="61" t="s">
        <v>19</v>
      </c>
      <c r="B35" s="54" t="s">
        <v>21</v>
      </c>
      <c r="C35" s="42">
        <v>57.5</v>
      </c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71"/>
      <c r="R35" s="78"/>
    </row>
    <row r="36" spans="1:21" x14ac:dyDescent="0.4">
      <c r="A36" s="70" t="s">
        <v>167</v>
      </c>
      <c r="B36" s="194" t="s">
        <v>21</v>
      </c>
      <c r="C36" s="38">
        <v>80</v>
      </c>
      <c r="D36" s="40" t="s">
        <v>4</v>
      </c>
      <c r="E36" s="40" t="s">
        <v>5</v>
      </c>
      <c r="F36" s="40" t="s">
        <v>6</v>
      </c>
      <c r="G36" s="40" t="s">
        <v>7</v>
      </c>
      <c r="H36" s="40" t="s">
        <v>8</v>
      </c>
      <c r="I36" s="40" t="s">
        <v>9</v>
      </c>
      <c r="J36" s="40" t="s">
        <v>10</v>
      </c>
      <c r="K36" s="40" t="s">
        <v>11</v>
      </c>
      <c r="L36" s="40" t="s">
        <v>12</v>
      </c>
      <c r="M36" s="40" t="s">
        <v>13</v>
      </c>
      <c r="N36" s="40" t="s">
        <v>14</v>
      </c>
      <c r="O36" s="71" t="s">
        <v>15</v>
      </c>
      <c r="R36" s="78"/>
    </row>
    <row r="37" spans="1:21" x14ac:dyDescent="0.4">
      <c r="A37" s="61" t="s">
        <v>80</v>
      </c>
      <c r="B37" s="44" t="s">
        <v>24</v>
      </c>
      <c r="C37" s="101"/>
      <c r="D37" s="114">
        <v>0.84599999999999997</v>
      </c>
      <c r="E37" s="114">
        <v>0.84599999999999997</v>
      </c>
      <c r="F37" s="114">
        <v>0.84599999999999997</v>
      </c>
      <c r="G37" s="114">
        <v>0.77300000000000002</v>
      </c>
      <c r="H37" s="114">
        <v>0.65500000000000003</v>
      </c>
      <c r="I37" s="114">
        <v>0.63800000000000001</v>
      </c>
      <c r="J37" s="114">
        <v>0.64600000000000002</v>
      </c>
      <c r="K37" s="114">
        <v>0.71799999999999997</v>
      </c>
      <c r="L37" s="114">
        <v>0.73599999999999999</v>
      </c>
      <c r="M37" s="114">
        <v>0.79</v>
      </c>
      <c r="N37" s="114">
        <v>0.81799999999999995</v>
      </c>
      <c r="O37" s="225">
        <v>0.84599999999999997</v>
      </c>
      <c r="Q37" s="49"/>
      <c r="R37" s="78"/>
      <c r="S37" s="49"/>
      <c r="T37" s="49"/>
      <c r="U37" s="49"/>
    </row>
    <row r="38" spans="1:21" x14ac:dyDescent="0.4">
      <c r="A38" s="61" t="s">
        <v>87</v>
      </c>
      <c r="B38" s="54" t="s">
        <v>21</v>
      </c>
      <c r="C38" s="100">
        <v>4.21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71"/>
      <c r="R38" s="78"/>
    </row>
    <row r="39" spans="1:21" x14ac:dyDescent="0.4">
      <c r="A39" s="61" t="s">
        <v>83</v>
      </c>
      <c r="B39" s="54" t="s">
        <v>85</v>
      </c>
      <c r="C39" s="43">
        <v>15</v>
      </c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71"/>
      <c r="R39" s="78"/>
    </row>
    <row r="40" spans="1:21" ht="12.6" thickBot="1" x14ac:dyDescent="0.45">
      <c r="A40" s="72"/>
      <c r="B40" s="97"/>
      <c r="C40" s="68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73"/>
    </row>
    <row r="41" spans="1:21" ht="12.6" thickBot="1" x14ac:dyDescent="0.45"/>
    <row r="42" spans="1:21" x14ac:dyDescent="0.4">
      <c r="A42" s="58" t="s">
        <v>124</v>
      </c>
      <c r="B42" s="66"/>
      <c r="C42" s="132">
        <v>0.96</v>
      </c>
      <c r="E42" s="107" t="s">
        <v>155</v>
      </c>
    </row>
    <row r="43" spans="1:21" x14ac:dyDescent="0.4">
      <c r="A43" s="61"/>
      <c r="B43" s="40"/>
      <c r="C43" s="133">
        <v>0.98</v>
      </c>
    </row>
    <row r="44" spans="1:21" x14ac:dyDescent="0.4">
      <c r="A44" s="61"/>
      <c r="B44" s="40"/>
      <c r="C44" s="133">
        <v>0.99</v>
      </c>
    </row>
    <row r="45" spans="1:21" ht="12.6" thickBot="1" x14ac:dyDescent="0.45">
      <c r="A45" s="64"/>
      <c r="B45" s="67"/>
      <c r="C45" s="134">
        <v>0.995</v>
      </c>
    </row>
    <row r="47" spans="1:21" x14ac:dyDescent="0.4">
      <c r="C47" s="74"/>
      <c r="D47" s="74"/>
      <c r="E47" s="74"/>
      <c r="F47" s="74"/>
    </row>
  </sheetData>
  <phoneticPr fontId="0" type="noConversion"/>
  <dataValidations count="1">
    <dataValidation type="list" showInputMessage="1" showErrorMessage="1" errorTitle="Flight type error" error="choose between 'flapping' or 'gliding'" promptTitle="Flight type" prompt="choose flight type: 'flapping' or 'gliding'" sqref="C14" xr:uid="{00000000-0002-0000-0000-000000000000}">
      <formula1>"flapping, gliding"</formula1>
    </dataValidation>
  </dataValidations>
  <pageMargins left="0.23622047244094491" right="0.23622047244094491" top="0.55118110236220474" bottom="0.55118110236220474" header="0.31496062992125984" footer="0.31496062992125984"/>
  <pageSetup paperSize="9" scale="85" orientation="landscape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1"/>
  <sheetViews>
    <sheetView topLeftCell="A10" zoomScale="75" zoomScaleNormal="75" workbookViewId="0">
      <selection activeCell="D14" sqref="D14"/>
    </sheetView>
  </sheetViews>
  <sheetFormatPr defaultRowHeight="12.3" x14ac:dyDescent="0.4"/>
  <cols>
    <col min="1" max="1" width="9.5546875" customWidth="1"/>
    <col min="2" max="2" width="36.5546875" customWidth="1"/>
    <col min="3" max="3" width="15" customWidth="1"/>
    <col min="4" max="4" width="11.44140625" customWidth="1"/>
    <col min="5" max="5" width="7.71875" customWidth="1"/>
    <col min="6" max="6" width="7.83203125" customWidth="1"/>
    <col min="7" max="7" width="8.1640625" customWidth="1"/>
    <col min="8" max="8" width="8.71875" customWidth="1"/>
    <col min="17" max="17" width="2.44140625" customWidth="1"/>
    <col min="18" max="18" width="12" customWidth="1"/>
  </cols>
  <sheetData>
    <row r="1" spans="1:18" x14ac:dyDescent="0.4">
      <c r="A1" s="1" t="s">
        <v>149</v>
      </c>
    </row>
    <row r="2" spans="1:18" x14ac:dyDescent="0.4">
      <c r="A2" s="1" t="s">
        <v>157</v>
      </c>
      <c r="D2" s="1" t="s">
        <v>126</v>
      </c>
      <c r="I2" s="37"/>
      <c r="J2" t="s">
        <v>92</v>
      </c>
    </row>
    <row r="3" spans="1:18" x14ac:dyDescent="0.4">
      <c r="D3" s="1" t="s">
        <v>125</v>
      </c>
      <c r="I3" s="39"/>
      <c r="J3" s="6" t="s">
        <v>202</v>
      </c>
    </row>
    <row r="4" spans="1:18" x14ac:dyDescent="0.4">
      <c r="A4" t="s">
        <v>0</v>
      </c>
      <c r="I4" s="52"/>
      <c r="J4" t="s">
        <v>93</v>
      </c>
    </row>
    <row r="5" spans="1:18" x14ac:dyDescent="0.4">
      <c r="B5" t="s">
        <v>1</v>
      </c>
      <c r="C5" s="3"/>
      <c r="D5" s="44" t="str">
        <f>'Input data'!C9</f>
        <v>Gannet</v>
      </c>
      <c r="I5" s="2"/>
      <c r="J5" t="s">
        <v>94</v>
      </c>
    </row>
    <row r="6" spans="1:18" x14ac:dyDescent="0.4">
      <c r="B6" t="s">
        <v>3</v>
      </c>
      <c r="C6" t="s">
        <v>22</v>
      </c>
      <c r="D6" s="41">
        <f>'Input data'!C12</f>
        <v>14.9</v>
      </c>
      <c r="I6" s="53"/>
      <c r="J6" t="s">
        <v>95</v>
      </c>
    </row>
    <row r="7" spans="1:18" x14ac:dyDescent="0.4">
      <c r="B7" t="s">
        <v>74</v>
      </c>
      <c r="D7" s="42">
        <v>3</v>
      </c>
      <c r="H7" s="3"/>
    </row>
    <row r="8" spans="1:18" x14ac:dyDescent="0.4">
      <c r="B8" t="s">
        <v>75</v>
      </c>
      <c r="D8" s="35">
        <f>(D7-1)*0.25</f>
        <v>0.5</v>
      </c>
      <c r="E8" s="36"/>
    </row>
    <row r="9" spans="1:18" x14ac:dyDescent="0.4">
      <c r="A9" t="s">
        <v>88</v>
      </c>
      <c r="D9" s="36"/>
      <c r="E9" s="36"/>
    </row>
    <row r="10" spans="1:18" x14ac:dyDescent="0.4">
      <c r="B10" t="s">
        <v>79</v>
      </c>
      <c r="C10" t="s">
        <v>85</v>
      </c>
      <c r="D10" s="89">
        <f>'Input data'!C25</f>
        <v>55.8</v>
      </c>
      <c r="E10" s="36"/>
    </row>
    <row r="11" spans="1:18" x14ac:dyDescent="0.4">
      <c r="B11" t="s">
        <v>18</v>
      </c>
      <c r="D11" s="37">
        <f>'Input data'!C26</f>
        <v>200</v>
      </c>
      <c r="E11" s="36"/>
    </row>
    <row r="12" spans="1:18" x14ac:dyDescent="0.4">
      <c r="B12" t="s">
        <v>19</v>
      </c>
      <c r="C12" t="s">
        <v>21</v>
      </c>
      <c r="D12" s="37">
        <f>'Input data'!C35</f>
        <v>57.5</v>
      </c>
      <c r="E12" s="36"/>
    </row>
    <row r="13" spans="1:18" x14ac:dyDescent="0.4">
      <c r="B13" t="s">
        <v>20</v>
      </c>
      <c r="C13" t="s">
        <v>21</v>
      </c>
      <c r="D13" s="37">
        <f>'Input data'!C36</f>
        <v>80</v>
      </c>
      <c r="E13" s="36"/>
    </row>
    <row r="14" spans="1:18" x14ac:dyDescent="0.4">
      <c r="B14" t="s">
        <v>28</v>
      </c>
      <c r="C14" t="s">
        <v>29</v>
      </c>
      <c r="D14" s="130">
        <f>D11*PI()*D12*D12</f>
        <v>2077378.1421862508</v>
      </c>
      <c r="E14" s="36"/>
    </row>
    <row r="15" spans="1:18" x14ac:dyDescent="0.4"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  <c r="K15" t="s">
        <v>10</v>
      </c>
      <c r="L15" t="s">
        <v>11</v>
      </c>
      <c r="M15" t="s">
        <v>12</v>
      </c>
      <c r="N15" t="s">
        <v>13</v>
      </c>
      <c r="O15" t="s">
        <v>14</v>
      </c>
      <c r="P15" t="s">
        <v>15</v>
      </c>
      <c r="R15" s="1" t="s">
        <v>103</v>
      </c>
    </row>
    <row r="16" spans="1:18" x14ac:dyDescent="0.4">
      <c r="B16" t="s">
        <v>25</v>
      </c>
      <c r="C16" t="s">
        <v>24</v>
      </c>
      <c r="E16" s="117">
        <f>'Input data'!D37</f>
        <v>0.84599999999999997</v>
      </c>
      <c r="F16" s="117">
        <f>'Input data'!E37</f>
        <v>0.84599999999999997</v>
      </c>
      <c r="G16" s="117">
        <f>'Input data'!F37</f>
        <v>0.84599999999999997</v>
      </c>
      <c r="H16" s="117">
        <f>'Input data'!G37</f>
        <v>0.77300000000000002</v>
      </c>
      <c r="I16" s="117">
        <f>'Input data'!H37</f>
        <v>0.65500000000000003</v>
      </c>
      <c r="J16" s="117">
        <f>'Input data'!I37</f>
        <v>0.63800000000000001</v>
      </c>
      <c r="K16" s="117">
        <f>'Input data'!J37</f>
        <v>0.64600000000000002</v>
      </c>
      <c r="L16" s="117">
        <f>'Input data'!K37</f>
        <v>0.71799999999999997</v>
      </c>
      <c r="M16" s="117">
        <f>'Input data'!L37</f>
        <v>0.73599999999999999</v>
      </c>
      <c r="N16" s="117">
        <f>'Input data'!M37</f>
        <v>0.79</v>
      </c>
      <c r="O16" s="117">
        <f>'Input data'!N37</f>
        <v>0.81799999999999995</v>
      </c>
      <c r="P16" s="117">
        <f>'Input data'!O37</f>
        <v>0.84599999999999997</v>
      </c>
      <c r="R16" s="118">
        <f>SUM(E16:P16)/12</f>
        <v>0.76316666666666666</v>
      </c>
    </row>
    <row r="18" spans="1:18" x14ac:dyDescent="0.4">
      <c r="A18" s="1" t="s">
        <v>117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</row>
    <row r="19" spans="1:18" x14ac:dyDescent="0.4">
      <c r="B19" t="s">
        <v>27</v>
      </c>
      <c r="C19" t="s">
        <v>26</v>
      </c>
      <c r="D19" s="3"/>
      <c r="E19" s="2">
        <f>'Input data'!D18</f>
        <v>0.05</v>
      </c>
      <c r="F19" s="2">
        <f>'Input data'!E18</f>
        <v>0.47</v>
      </c>
      <c r="G19" s="2">
        <f>'Input data'!F18</f>
        <v>1.49</v>
      </c>
      <c r="H19" s="2">
        <f>'Input data'!G18</f>
        <v>1.4</v>
      </c>
      <c r="I19" s="2">
        <f>'Input data'!H18</f>
        <v>0.88</v>
      </c>
      <c r="J19" s="2">
        <f>'Input data'!I18</f>
        <v>1.04</v>
      </c>
      <c r="K19" s="2">
        <f>'Input data'!J18</f>
        <v>0.56999999999999995</v>
      </c>
      <c r="L19" s="2">
        <f>'Input data'!K18</f>
        <v>1.8</v>
      </c>
      <c r="M19" s="2">
        <f>'Input data'!L18</f>
        <v>2.79</v>
      </c>
      <c r="N19" s="2">
        <f>'Input data'!M18</f>
        <v>0.83</v>
      </c>
      <c r="O19" s="2">
        <f>'Input data'!N18</f>
        <v>0.5</v>
      </c>
      <c r="P19" s="2">
        <f>'Input data'!O18</f>
        <v>0.12</v>
      </c>
    </row>
    <row r="20" spans="1:18" x14ac:dyDescent="0.4">
      <c r="B20" t="s">
        <v>16</v>
      </c>
      <c r="C20" t="s">
        <v>24</v>
      </c>
      <c r="D20" s="227">
        <f>'Input data'!C19</f>
        <v>8.2799999999999999E-2</v>
      </c>
    </row>
    <row r="21" spans="1:18" x14ac:dyDescent="0.4">
      <c r="B21" t="s">
        <v>112</v>
      </c>
      <c r="C21" t="s">
        <v>23</v>
      </c>
      <c r="E21" s="51">
        <f>'Daylight and night hours'!F10</f>
        <v>238.78888198261959</v>
      </c>
      <c r="F21" s="51">
        <f>'Daylight and night hours'!G10</f>
        <v>267.45031393014273</v>
      </c>
      <c r="G21" s="51">
        <f>'Daylight and night hours'!H10</f>
        <v>365.61770672963922</v>
      </c>
      <c r="H21" s="51">
        <f>'Daylight and night hours'!I10</f>
        <v>424.04227433468935</v>
      </c>
      <c r="I21" s="51">
        <f>'Daylight and night hours'!J10</f>
        <v>503.61114467295624</v>
      </c>
      <c r="J21" s="51">
        <f>'Daylight and night hours'!K10</f>
        <v>523.48372937097724</v>
      </c>
      <c r="K21" s="51">
        <f>'Daylight and night hours'!L10</f>
        <v>524.89172337782463</v>
      </c>
      <c r="L21" s="51">
        <f>'Daylight and night hours'!M10</f>
        <v>467.39166898582283</v>
      </c>
      <c r="M21" s="51">
        <f>'Daylight and night hours'!N10</f>
        <v>384.55261523808144</v>
      </c>
      <c r="N21" s="51">
        <f>'Daylight and night hours'!O10</f>
        <v>325.48317795403966</v>
      </c>
      <c r="O21" s="51">
        <f>'Daylight and night hours'!P10</f>
        <v>250.82142903002887</v>
      </c>
      <c r="P21" s="51">
        <f>'Daylight and night hours'!Q10</f>
        <v>220.79045233583778</v>
      </c>
    </row>
    <row r="22" spans="1:18" x14ac:dyDescent="0.4">
      <c r="B22" t="s">
        <v>113</v>
      </c>
      <c r="C22" t="s">
        <v>23</v>
      </c>
      <c r="E22" s="51">
        <f>'Daylight and night hours'!F14</f>
        <v>505.21111801738039</v>
      </c>
      <c r="F22" s="51">
        <f>'Daylight and night hours'!G14</f>
        <v>404.54968606985727</v>
      </c>
      <c r="G22" s="51">
        <f>'Daylight and night hours'!H14</f>
        <v>378.38229327036078</v>
      </c>
      <c r="H22" s="51">
        <f>'Daylight and night hours'!I14</f>
        <v>295.95772566531065</v>
      </c>
      <c r="I22" s="51">
        <f>'Daylight and night hours'!J14</f>
        <v>240.38885532704376</v>
      </c>
      <c r="J22" s="51">
        <f>'Daylight and night hours'!K14</f>
        <v>196.51627062902276</v>
      </c>
      <c r="K22" s="51">
        <f>'Daylight and night hours'!L14</f>
        <v>219.10827662217537</v>
      </c>
      <c r="L22" s="51">
        <f>'Daylight and night hours'!M14</f>
        <v>276.60833101417717</v>
      </c>
      <c r="M22" s="51">
        <f>'Daylight and night hours'!N14</f>
        <v>335.44738476191856</v>
      </c>
      <c r="N22" s="51">
        <f>'Daylight and night hours'!O14</f>
        <v>418.51682204596034</v>
      </c>
      <c r="O22" s="51">
        <f>'Daylight and night hours'!P14</f>
        <v>469.17857096997113</v>
      </c>
      <c r="P22" s="51">
        <f>'Daylight and night hours'!Q14</f>
        <v>523.20954766416219</v>
      </c>
    </row>
    <row r="23" spans="1:18" x14ac:dyDescent="0.4">
      <c r="A23" s="1"/>
      <c r="B23" s="33" t="s">
        <v>201</v>
      </c>
      <c r="E23" s="4">
        <f t="shared" ref="E23:P23" si="0">$D6*E19/(2*$D12)*$D14*(E21+$D8*E22)*3600/1000000</f>
        <v>23807.112818896112</v>
      </c>
      <c r="F23" s="4">
        <f t="shared" si="0"/>
        <v>213918.41137215</v>
      </c>
      <c r="G23" s="4">
        <f t="shared" si="0"/>
        <v>801006.67960817367</v>
      </c>
      <c r="H23" s="4">
        <f t="shared" si="0"/>
        <v>775972.98039469996</v>
      </c>
      <c r="I23" s="4">
        <f t="shared" si="0"/>
        <v>531910.31037248706</v>
      </c>
      <c r="J23" s="4">
        <f t="shared" si="0"/>
        <v>626541.63667034369</v>
      </c>
      <c r="K23" s="4">
        <f t="shared" si="0"/>
        <v>350409.53171779093</v>
      </c>
      <c r="L23" s="4">
        <f t="shared" si="0"/>
        <v>1056412.6149214506</v>
      </c>
      <c r="M23" s="4">
        <f t="shared" si="0"/>
        <v>1493025.077691243</v>
      </c>
      <c r="N23" s="4">
        <f t="shared" si="0"/>
        <v>430059.495545012</v>
      </c>
      <c r="O23" s="4">
        <f t="shared" si="0"/>
        <v>235172.12813085705</v>
      </c>
      <c r="P23" s="4">
        <f t="shared" si="0"/>
        <v>56090.683726133473</v>
      </c>
      <c r="R23" s="75"/>
    </row>
    <row r="24" spans="1:18" x14ac:dyDescent="0.4">
      <c r="A24" s="1"/>
      <c r="B24" s="33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R24" s="75"/>
    </row>
    <row r="25" spans="1:18" x14ac:dyDescent="0.4">
      <c r="A25" s="1" t="s">
        <v>205</v>
      </c>
      <c r="R25" s="75" t="s">
        <v>104</v>
      </c>
    </row>
    <row r="26" spans="1:18" x14ac:dyDescent="0.4">
      <c r="A26" s="75"/>
      <c r="B26" t="s">
        <v>121</v>
      </c>
      <c r="E26" s="4">
        <f t="shared" ref="E26:P26" si="1">E23*$D20</f>
        <v>1971.2289414045981</v>
      </c>
      <c r="F26" s="4">
        <f t="shared" si="1"/>
        <v>17712.444461614021</v>
      </c>
      <c r="G26" s="4">
        <f t="shared" si="1"/>
        <v>66323.353071556776</v>
      </c>
      <c r="H26" s="4">
        <f t="shared" si="1"/>
        <v>64250.562776681152</v>
      </c>
      <c r="I26" s="4">
        <f t="shared" si="1"/>
        <v>44042.173698841929</v>
      </c>
      <c r="J26" s="4">
        <f t="shared" si="1"/>
        <v>51877.64751630446</v>
      </c>
      <c r="K26" s="4">
        <f t="shared" si="1"/>
        <v>29013.909226233089</v>
      </c>
      <c r="L26" s="4">
        <f t="shared" si="1"/>
        <v>87470.964515496104</v>
      </c>
      <c r="M26" s="4">
        <f t="shared" si="1"/>
        <v>123622.47643283493</v>
      </c>
      <c r="N26" s="4">
        <f t="shared" si="1"/>
        <v>35608.926231126992</v>
      </c>
      <c r="O26" s="4">
        <f t="shared" si="1"/>
        <v>19472.252209234965</v>
      </c>
      <c r="P26" s="4">
        <f t="shared" si="1"/>
        <v>4644.3086125238515</v>
      </c>
      <c r="R26" s="142">
        <f>SUM(E26:P26)</f>
        <v>546010.24769385287</v>
      </c>
    </row>
    <row r="27" spans="1:18" x14ac:dyDescent="0.4">
      <c r="A27" s="75"/>
      <c r="B27" t="s">
        <v>89</v>
      </c>
      <c r="C27" s="211" t="s">
        <v>90</v>
      </c>
      <c r="D27" s="24">
        <f>'Single transit collision risk'!I39</f>
        <v>7.5926348934317878E-2</v>
      </c>
      <c r="R27" s="1"/>
    </row>
    <row r="28" spans="1:18" ht="24.6" x14ac:dyDescent="0.4">
      <c r="B28" s="137" t="s">
        <v>160</v>
      </c>
      <c r="C28" s="138" t="s">
        <v>122</v>
      </c>
      <c r="E28" s="98">
        <f t="shared" ref="E28:P28" si="2">E26*$D$27*E16</f>
        <v>126.61931110359679</v>
      </c>
      <c r="F28" s="98">
        <f t="shared" si="2"/>
        <v>1137.7356879167085</v>
      </c>
      <c r="G28" s="98">
        <f t="shared" si="2"/>
        <v>4260.1937804430154</v>
      </c>
      <c r="H28" s="98">
        <f t="shared" si="2"/>
        <v>3770.9341313744394</v>
      </c>
      <c r="I28" s="98">
        <f t="shared" si="2"/>
        <v>2190.2947484950919</v>
      </c>
      <c r="J28" s="98">
        <f t="shared" si="2"/>
        <v>2513.0056742828392</v>
      </c>
      <c r="K28" s="98">
        <f t="shared" si="2"/>
        <v>1423.0864465253005</v>
      </c>
      <c r="L28" s="98">
        <f t="shared" si="2"/>
        <v>4768.4899989190744</v>
      </c>
      <c r="M28" s="98">
        <f t="shared" si="2"/>
        <v>6908.2456153782405</v>
      </c>
      <c r="N28" s="98">
        <f t="shared" si="2"/>
        <v>2135.8880489787371</v>
      </c>
      <c r="O28" s="98">
        <f t="shared" si="2"/>
        <v>1209.3778389042902</v>
      </c>
      <c r="P28" s="98">
        <f t="shared" si="2"/>
        <v>298.32108524707957</v>
      </c>
      <c r="R28" s="98">
        <f>SUM(E28:P28)</f>
        <v>30742.192367568412</v>
      </c>
    </row>
    <row r="29" spans="1:18" x14ac:dyDescent="0.4">
      <c r="B29" s="6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R29" s="135"/>
    </row>
    <row r="30" spans="1:18" x14ac:dyDescent="0.4">
      <c r="A30" s="1" t="s">
        <v>206</v>
      </c>
      <c r="B30" s="6"/>
      <c r="E30" s="98">
        <f t="shared" ref="E30:P30" ca="1" si="3">E28*$D33/$D20</f>
        <v>86.808968541842816</v>
      </c>
      <c r="F30" s="98">
        <f t="shared" ca="1" si="3"/>
        <v>780.02052515106334</v>
      </c>
      <c r="G30" s="98">
        <f t="shared" ca="1" si="3"/>
        <v>2920.7474329571428</v>
      </c>
      <c r="H30" s="98">
        <f t="shared" ca="1" si="3"/>
        <v>2585.3157747479345</v>
      </c>
      <c r="I30" s="98">
        <f t="shared" ca="1" si="3"/>
        <v>1501.6447827923214</v>
      </c>
      <c r="J30" s="98">
        <f t="shared" ca="1" si="3"/>
        <v>1722.8922557144967</v>
      </c>
      <c r="K30" s="98">
        <f t="shared" ca="1" si="3"/>
        <v>975.65423071732755</v>
      </c>
      <c r="L30" s="98">
        <f t="shared" ca="1" si="3"/>
        <v>3269.2303780548627</v>
      </c>
      <c r="M30" s="98">
        <f t="shared" ca="1" si="3"/>
        <v>4736.2260233277957</v>
      </c>
      <c r="N30" s="98">
        <f t="shared" ca="1" si="3"/>
        <v>1464.3440786136632</v>
      </c>
      <c r="O30" s="98">
        <f t="shared" ca="1" si="3"/>
        <v>829.13768727385013</v>
      </c>
      <c r="P30" s="98">
        <f t="shared" ca="1" si="3"/>
        <v>204.52603539592707</v>
      </c>
      <c r="R30" s="98">
        <f ca="1">SUM(E30:P30)</f>
        <v>21076.548173288229</v>
      </c>
    </row>
    <row r="31" spans="1:18" x14ac:dyDescent="0.4">
      <c r="B31" s="6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R31" s="135"/>
    </row>
    <row r="32" spans="1:18" x14ac:dyDescent="0.4">
      <c r="A32" s="1" t="s">
        <v>207</v>
      </c>
      <c r="D32" t="str">
        <f>Flightheight!B6</f>
        <v>Gannet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R32" s="135"/>
    </row>
    <row r="33" spans="1:18" x14ac:dyDescent="0.4">
      <c r="A33" s="1"/>
      <c r="B33" s="6" t="s">
        <v>16</v>
      </c>
      <c r="C33" s="210" t="s">
        <v>198</v>
      </c>
      <c r="D33" s="228">
        <f ca="1">Extended!M45</f>
        <v>5.6766874915183507E-2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R33" s="135"/>
    </row>
    <row r="34" spans="1:18" x14ac:dyDescent="0.4">
      <c r="B34" s="6" t="s">
        <v>158</v>
      </c>
      <c r="C34" s="210" t="s">
        <v>200</v>
      </c>
      <c r="D34" s="209">
        <f ca="1">Extended!M47</f>
        <v>2.7188995690499766E-2</v>
      </c>
      <c r="E34" s="4">
        <f t="shared" ref="E34:P34" ca="1" si="4">E23*$D34</f>
        <v>647.29148783620815</v>
      </c>
      <c r="F34" s="4">
        <f t="shared" ca="1" si="4"/>
        <v>5816.2267649159421</v>
      </c>
      <c r="G34" s="4">
        <f t="shared" ca="1" si="4"/>
        <v>21778.56715992816</v>
      </c>
      <c r="H34" s="4">
        <f t="shared" ca="1" si="4"/>
        <v>21097.926019895756</v>
      </c>
      <c r="I34" s="4">
        <f t="shared" ca="1" si="4"/>
        <v>14462.107136449944</v>
      </c>
      <c r="J34" s="4">
        <f t="shared" ca="1" si="4"/>
        <v>17035.037859348646</v>
      </c>
      <c r="K34" s="4">
        <f t="shared" ca="1" si="4"/>
        <v>9527.2832477850588</v>
      </c>
      <c r="L34" s="4">
        <f t="shared" ca="1" si="4"/>
        <v>28722.798034488907</v>
      </c>
      <c r="M34" s="4">
        <f t="shared" ca="1" si="4"/>
        <v>40593.852403155288</v>
      </c>
      <c r="N34" s="4">
        <f t="shared" ca="1" si="4"/>
        <v>11692.885771031835</v>
      </c>
      <c r="O34" s="4">
        <f t="shared" ca="1" si="4"/>
        <v>6394.0939782755313</v>
      </c>
      <c r="P34" s="4">
        <f t="shared" ca="1" si="4"/>
        <v>1525.0493581070284</v>
      </c>
      <c r="R34" s="98">
        <f ca="1">SUM(E34:P34)</f>
        <v>179293.11922121834</v>
      </c>
    </row>
    <row r="35" spans="1:18" s="3" customFormat="1" x14ac:dyDescent="0.4">
      <c r="B35" s="136" t="s">
        <v>30</v>
      </c>
      <c r="C35" s="210" t="s">
        <v>159</v>
      </c>
      <c r="D35" s="141">
        <f ca="1">Extended!M51</f>
        <v>1.3022896981982808E-3</v>
      </c>
      <c r="E35" s="98">
        <f t="shared" ref="E35:P35" ca="1" si="5">E23*$D35*E16</f>
        <v>26.229179071637173</v>
      </c>
      <c r="F35" s="98">
        <f t="shared" ca="1" si="5"/>
        <v>235.68184690361937</v>
      </c>
      <c r="G35" s="98">
        <f t="shared" ca="1" si="5"/>
        <v>882.49876399730817</v>
      </c>
      <c r="H35" s="98">
        <f t="shared" ca="1" si="5"/>
        <v>781.14867106048507</v>
      </c>
      <c r="I35" s="98">
        <f t="shared" ca="1" si="5"/>
        <v>453.71936300411869</v>
      </c>
      <c r="J35" s="98">
        <f t="shared" ca="1" si="5"/>
        <v>520.56890267611425</v>
      </c>
      <c r="K35" s="98">
        <f t="shared" ca="1" si="5"/>
        <v>294.7922312560396</v>
      </c>
      <c r="L35" s="98">
        <f t="shared" ca="1" si="5"/>
        <v>987.79228059949901</v>
      </c>
      <c r="M35" s="98">
        <f t="shared" ca="1" si="5"/>
        <v>1431.0424668821393</v>
      </c>
      <c r="N35" s="98">
        <f t="shared" ca="1" si="5"/>
        <v>442.44902002188866</v>
      </c>
      <c r="O35" s="98">
        <f t="shared" ca="1" si="5"/>
        <v>250.52251213037223</v>
      </c>
      <c r="P35" s="98">
        <f t="shared" ca="1" si="5"/>
        <v>61.797186365899577</v>
      </c>
      <c r="R35" s="98">
        <f ca="1">SUM(E35:P35)</f>
        <v>6368.2424239691209</v>
      </c>
    </row>
    <row r="36" spans="1:18" s="3" customFormat="1" x14ac:dyDescent="0.4">
      <c r="B36" s="136" t="s">
        <v>203</v>
      </c>
      <c r="C36" s="210"/>
      <c r="D36" s="212">
        <f ca="1">D35/D34</f>
        <v>4.7897675700221611E-2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R36" s="135"/>
    </row>
    <row r="37" spans="1:18" s="3" customFormat="1" x14ac:dyDescent="0.4">
      <c r="B37" s="136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R37" s="135"/>
    </row>
    <row r="38" spans="1:18" x14ac:dyDescent="0.4">
      <c r="A38" s="1" t="s">
        <v>91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3"/>
      <c r="R38" s="135"/>
    </row>
    <row r="39" spans="1:18" x14ac:dyDescent="0.4">
      <c r="A39" s="1"/>
      <c r="B39" s="139" t="s">
        <v>204</v>
      </c>
      <c r="C39" s="224" t="s">
        <v>212</v>
      </c>
      <c r="E39" s="4">
        <f t="shared" ref="E39:P39" ca="1" si="6">IF($C39="Option 1",E28,IF($C39="Option 2",E30,IF($C39="Option 3",E35,0)))</f>
        <v>86.808968541842816</v>
      </c>
      <c r="F39" s="4">
        <f t="shared" ca="1" si="6"/>
        <v>780.02052515106334</v>
      </c>
      <c r="G39" s="4">
        <f t="shared" ca="1" si="6"/>
        <v>2920.7474329571428</v>
      </c>
      <c r="H39" s="4">
        <f t="shared" ca="1" si="6"/>
        <v>2585.3157747479345</v>
      </c>
      <c r="I39" s="4">
        <f t="shared" ca="1" si="6"/>
        <v>1501.6447827923214</v>
      </c>
      <c r="J39" s="4">
        <f t="shared" ca="1" si="6"/>
        <v>1722.8922557144967</v>
      </c>
      <c r="K39" s="4">
        <f t="shared" ca="1" si="6"/>
        <v>975.65423071732755</v>
      </c>
      <c r="L39" s="4">
        <f t="shared" ca="1" si="6"/>
        <v>3269.2303780548627</v>
      </c>
      <c r="M39" s="4">
        <f t="shared" ca="1" si="6"/>
        <v>4736.2260233277957</v>
      </c>
      <c r="N39" s="4">
        <f t="shared" ca="1" si="6"/>
        <v>1464.3440786136632</v>
      </c>
      <c r="O39" s="4">
        <f t="shared" ca="1" si="6"/>
        <v>829.13768727385013</v>
      </c>
      <c r="P39" s="4">
        <f t="shared" ca="1" si="6"/>
        <v>204.52603539592707</v>
      </c>
      <c r="Q39" s="3"/>
      <c r="R39" s="98">
        <f ca="1">SUM(E39:P39)</f>
        <v>21076.548173288229</v>
      </c>
    </row>
    <row r="40" spans="1:18" x14ac:dyDescent="0.4">
      <c r="A40" s="1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3"/>
      <c r="R40" s="135"/>
    </row>
    <row r="41" spans="1:18" ht="24.6" x14ac:dyDescent="0.4">
      <c r="A41" t="s">
        <v>31</v>
      </c>
      <c r="C41" s="138" t="s">
        <v>122</v>
      </c>
      <c r="D41" s="103">
        <f>'Input data'!C42</f>
        <v>0.96</v>
      </c>
      <c r="E41" s="229">
        <f ca="1">E$39*(1-$D41)</f>
        <v>3.4723587416737156</v>
      </c>
      <c r="F41" s="229">
        <f t="shared" ref="F41:P44" ca="1" si="7">F$39*(1-$D41)</f>
        <v>31.20082100604256</v>
      </c>
      <c r="G41" s="229">
        <f t="shared" ca="1" si="7"/>
        <v>116.82989731828582</v>
      </c>
      <c r="H41" s="229">
        <f t="shared" ca="1" si="7"/>
        <v>103.41263098991747</v>
      </c>
      <c r="I41" s="229">
        <f t="shared" ca="1" si="7"/>
        <v>60.065791311692912</v>
      </c>
      <c r="J41" s="229">
        <f t="shared" ca="1" si="7"/>
        <v>68.915690228579933</v>
      </c>
      <c r="K41" s="229">
        <f t="shared" ca="1" si="7"/>
        <v>39.026169228693135</v>
      </c>
      <c r="L41" s="229">
        <f t="shared" ca="1" si="7"/>
        <v>130.76921512219462</v>
      </c>
      <c r="M41" s="229">
        <f t="shared" ca="1" si="7"/>
        <v>189.449040933112</v>
      </c>
      <c r="N41" s="229">
        <f t="shared" ca="1" si="7"/>
        <v>58.573763144546582</v>
      </c>
      <c r="O41" s="229">
        <f t="shared" ca="1" si="7"/>
        <v>33.165507490954035</v>
      </c>
      <c r="P41" s="229">
        <f t="shared" ca="1" si="7"/>
        <v>8.1810414158370897</v>
      </c>
      <c r="R41" s="98">
        <f ca="1">SUM(E41:P41)</f>
        <v>843.0619269315298</v>
      </c>
    </row>
    <row r="42" spans="1:18" x14ac:dyDescent="0.4">
      <c r="D42" s="103">
        <f>'Input data'!C43</f>
        <v>0.98</v>
      </c>
      <c r="E42" s="229">
        <f ca="1">E$39*(1-$D42)</f>
        <v>1.7361793708368578</v>
      </c>
      <c r="F42" s="229">
        <f t="shared" ca="1" si="7"/>
        <v>15.60041050302128</v>
      </c>
      <c r="G42" s="229">
        <f t="shared" ca="1" si="7"/>
        <v>58.414948659142908</v>
      </c>
      <c r="H42" s="229">
        <f t="shared" ca="1" si="7"/>
        <v>51.706315494958737</v>
      </c>
      <c r="I42" s="229">
        <f t="shared" ca="1" si="7"/>
        <v>30.032895655846456</v>
      </c>
      <c r="J42" s="229">
        <f t="shared" ca="1" si="7"/>
        <v>34.457845114289967</v>
      </c>
      <c r="K42" s="229">
        <f t="shared" ca="1" si="7"/>
        <v>19.513084614346567</v>
      </c>
      <c r="L42" s="229">
        <f t="shared" ca="1" si="7"/>
        <v>65.384607561097312</v>
      </c>
      <c r="M42" s="229">
        <f t="shared" ca="1" si="7"/>
        <v>94.724520466556001</v>
      </c>
      <c r="N42" s="229">
        <f t="shared" ca="1" si="7"/>
        <v>29.286881572273291</v>
      </c>
      <c r="O42" s="229">
        <f t="shared" ca="1" si="7"/>
        <v>16.582753745477017</v>
      </c>
      <c r="P42" s="229">
        <f t="shared" ca="1" si="7"/>
        <v>4.0905207079185448</v>
      </c>
      <c r="R42" s="98">
        <f ca="1">SUM(E42:P42)</f>
        <v>421.5309634657649</v>
      </c>
    </row>
    <row r="43" spans="1:18" x14ac:dyDescent="0.4">
      <c r="D43" s="103">
        <f>'Input data'!C44</f>
        <v>0.99</v>
      </c>
      <c r="E43" s="229">
        <f ca="1">E$39*(1-$D43)</f>
        <v>0.8680896854184289</v>
      </c>
      <c r="F43" s="229">
        <f t="shared" ca="1" si="7"/>
        <v>7.8002052515106399</v>
      </c>
      <c r="G43" s="229">
        <f t="shared" ca="1" si="7"/>
        <v>29.207474329571454</v>
      </c>
      <c r="H43" s="229">
        <f t="shared" ca="1" si="7"/>
        <v>25.853157747479369</v>
      </c>
      <c r="I43" s="229">
        <f t="shared" ca="1" si="7"/>
        <v>15.016447827923228</v>
      </c>
      <c r="J43" s="229">
        <f t="shared" ca="1" si="7"/>
        <v>17.228922557144983</v>
      </c>
      <c r="K43" s="229">
        <f t="shared" ca="1" si="7"/>
        <v>9.7565423071732837</v>
      </c>
      <c r="L43" s="229">
        <f t="shared" ca="1" si="7"/>
        <v>32.692303780548656</v>
      </c>
      <c r="M43" s="229">
        <f t="shared" ca="1" si="7"/>
        <v>47.362260233278</v>
      </c>
      <c r="N43" s="229">
        <f t="shared" ca="1" si="7"/>
        <v>14.643440786136646</v>
      </c>
      <c r="O43" s="229">
        <f t="shared" ca="1" si="7"/>
        <v>8.2913768727385087</v>
      </c>
      <c r="P43" s="229">
        <f t="shared" ca="1" si="7"/>
        <v>2.0452603539592724</v>
      </c>
      <c r="R43" s="98">
        <f ca="1">SUM(E43:P43)</f>
        <v>210.76548173288245</v>
      </c>
    </row>
    <row r="44" spans="1:18" x14ac:dyDescent="0.4">
      <c r="D44" s="103">
        <f>'Input data'!C45</f>
        <v>0.995</v>
      </c>
      <c r="E44" s="229">
        <f ca="1">E$39*(1-$D44)</f>
        <v>0.43404484270921445</v>
      </c>
      <c r="F44" s="229">
        <f t="shared" ca="1" si="7"/>
        <v>3.90010262575532</v>
      </c>
      <c r="G44" s="229">
        <f t="shared" ca="1" si="7"/>
        <v>14.603737164785727</v>
      </c>
      <c r="H44" s="229">
        <f t="shared" ca="1" si="7"/>
        <v>12.926578873739684</v>
      </c>
      <c r="I44" s="229">
        <f t="shared" ca="1" si="7"/>
        <v>7.508223913961614</v>
      </c>
      <c r="J44" s="229">
        <f t="shared" ca="1" si="7"/>
        <v>8.6144612785724917</v>
      </c>
      <c r="K44" s="229">
        <f t="shared" ca="1" si="7"/>
        <v>4.8782711535866419</v>
      </c>
      <c r="L44" s="229">
        <f t="shared" ca="1" si="7"/>
        <v>16.346151890274328</v>
      </c>
      <c r="M44" s="229">
        <f t="shared" ca="1" si="7"/>
        <v>23.681130116639</v>
      </c>
      <c r="N44" s="229">
        <f t="shared" ca="1" si="7"/>
        <v>7.3217203930683228</v>
      </c>
      <c r="O44" s="229">
        <f t="shared" ca="1" si="7"/>
        <v>4.1456884363692543</v>
      </c>
      <c r="P44" s="229">
        <f t="shared" ca="1" si="7"/>
        <v>1.0226301769796362</v>
      </c>
      <c r="R44" s="98">
        <f ca="1">SUM(E44:P44)</f>
        <v>105.38274086644122</v>
      </c>
    </row>
    <row r="45" spans="1:18" x14ac:dyDescent="0.4"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8" x14ac:dyDescent="0.4">
      <c r="A46" t="s">
        <v>156</v>
      </c>
      <c r="D46" s="103">
        <f>'Input data'!C42</f>
        <v>0.96</v>
      </c>
      <c r="E46" s="229">
        <f ca="1">E41*'Large array correction'!$B18</f>
        <v>3.4637115941422825</v>
      </c>
      <c r="F46" s="229">
        <f ca="1">F41*'Large array correction'!$B18</f>
        <v>31.123122207498767</v>
      </c>
      <c r="G46" s="229">
        <f ca="1">G41*'Large array correction'!$B18</f>
        <v>116.53895809415874</v>
      </c>
      <c r="H46" s="229">
        <f ca="1">H41*'Large array correction'!$B18</f>
        <v>103.15510452352696</v>
      </c>
      <c r="I46" s="229">
        <f ca="1">I41*'Large array correction'!$B18</f>
        <v>59.916210638235732</v>
      </c>
      <c r="J46" s="229">
        <f ca="1">J41*'Large array correction'!$B18</f>
        <v>68.744070823739918</v>
      </c>
      <c r="K46" s="229">
        <f ca="1">K41*'Large array correction'!$B18</f>
        <v>38.92898311746071</v>
      </c>
      <c r="L46" s="229">
        <f ca="1">L41*'Large array correction'!$B18</f>
        <v>130.44356308568118</v>
      </c>
      <c r="M46" s="229">
        <f ca="1">M41*'Large array correction'!$B18</f>
        <v>188.97725966610861</v>
      </c>
      <c r="N46" s="229">
        <f ca="1">N41*'Large array correction'!$B18</f>
        <v>58.427898039854675</v>
      </c>
      <c r="O46" s="229">
        <f ca="1">O41*'Large array correction'!$B18</f>
        <v>33.082916071816598</v>
      </c>
      <c r="P46" s="229">
        <f ca="1">P41*'Large array correction'!$B18</f>
        <v>8.1606683272980263</v>
      </c>
      <c r="R46" s="98">
        <f ca="1">R41*'Large array correction'!$B18</f>
        <v>840.96246618952216</v>
      </c>
    </row>
    <row r="47" spans="1:18" x14ac:dyDescent="0.4">
      <c r="D47" s="103">
        <f>'Input data'!C43</f>
        <v>0.98</v>
      </c>
      <c r="E47" s="229">
        <f ca="1">E42*'Large array correction'!$C18</f>
        <v>1.7340159209074335</v>
      </c>
      <c r="F47" s="229">
        <f ca="1">F42*'Large array correction'!$C18</f>
        <v>15.580970860108415</v>
      </c>
      <c r="G47" s="229">
        <f ca="1">G42*'Large array correction'!$C18</f>
        <v>58.342157898765983</v>
      </c>
      <c r="H47" s="229">
        <f ca="1">H42*'Large array correction'!$C18</f>
        <v>51.641884350062433</v>
      </c>
      <c r="I47" s="229">
        <f ca="1">I42*'Large array correction'!$C18</f>
        <v>29.995471719657345</v>
      </c>
      <c r="J47" s="229">
        <f ca="1">J42*'Large array correction'!$C18</f>
        <v>34.414907256697127</v>
      </c>
      <c r="K47" s="229">
        <f ca="1">K42*'Large array correction'!$C18</f>
        <v>19.488769395400375</v>
      </c>
      <c r="L47" s="229">
        <f ca="1">L42*'Large array correction'!$C18</f>
        <v>65.303131921546708</v>
      </c>
      <c r="M47" s="229">
        <f ca="1">M42*'Large array correction'!$C18</f>
        <v>94.606484415350451</v>
      </c>
      <c r="N47" s="229">
        <f ca="1">N42*'Large array correction'!$C18</f>
        <v>29.250387242865351</v>
      </c>
      <c r="O47" s="229">
        <f ca="1">O42*'Large array correction'!$C18</f>
        <v>16.562090006451584</v>
      </c>
      <c r="P47" s="229">
        <f ca="1">P42*'Large array correction'!$C18</f>
        <v>4.0854235175674178</v>
      </c>
      <c r="R47" s="98">
        <f ca="1">R42*'Large array correction'!$C18</f>
        <v>421.00569450538057</v>
      </c>
    </row>
    <row r="48" spans="1:18" x14ac:dyDescent="0.4">
      <c r="D48" s="103">
        <f>'Input data'!C44</f>
        <v>0.99</v>
      </c>
      <c r="E48" s="229">
        <f ca="1">E43*'Large array correction'!$D18</f>
        <v>0.86754861505525216</v>
      </c>
      <c r="F48" s="229">
        <f ca="1">F43*'Large array correction'!$D18</f>
        <v>7.7953434728728102</v>
      </c>
      <c r="G48" s="229">
        <f ca="1">G43*'Large array correction'!$D18</f>
        <v>29.189269645184083</v>
      </c>
      <c r="H48" s="229">
        <f ca="1">H43*'Large array correction'!$D18</f>
        <v>25.837043770217964</v>
      </c>
      <c r="I48" s="229">
        <f ca="1">I43*'Large array correction'!$D18</f>
        <v>15.007088247897851</v>
      </c>
      <c r="J48" s="229">
        <f ca="1">J43*'Large array correction'!$D18</f>
        <v>17.218183966948921</v>
      </c>
      <c r="K48" s="229">
        <f ca="1">K43*'Large array correction'!$D18</f>
        <v>9.7504611660444773</v>
      </c>
      <c r="L48" s="229">
        <f ca="1">L43*'Large array correction'!$D18</f>
        <v>32.671927041858233</v>
      </c>
      <c r="M48" s="229">
        <f ca="1">M43*'Large array correction'!$D18</f>
        <v>47.332739878669784</v>
      </c>
      <c r="N48" s="229">
        <f ca="1">N43*'Large array correction'!$D18</f>
        <v>14.634313697130292</v>
      </c>
      <c r="O48" s="229">
        <f ca="1">O43*'Large array correction'!$D18</f>
        <v>8.2862089524520179</v>
      </c>
      <c r="P48" s="229">
        <f ca="1">P43*'Large array correction'!$D18</f>
        <v>2.0439855665944457</v>
      </c>
      <c r="R48" s="98">
        <f ca="1">R43*'Large array correction'!$D18</f>
        <v>210.63411402092609</v>
      </c>
    </row>
    <row r="49" spans="4:18" x14ac:dyDescent="0.4">
      <c r="D49" s="103">
        <f>'Input data'!C45</f>
        <v>0.995</v>
      </c>
      <c r="E49" s="229">
        <f ca="1">E44*'Large array correction'!$E18</f>
        <v>0.43390954913331764</v>
      </c>
      <c r="F49" s="229">
        <f ca="1">F44*'Large array correction'!$E18</f>
        <v>3.8988869476071604</v>
      </c>
      <c r="G49" s="229">
        <f ca="1">G44*'Large array correction'!$E18</f>
        <v>14.59918511940224</v>
      </c>
      <c r="H49" s="229">
        <f ca="1">H44*'Large array correction'!$E18</f>
        <v>12.922549605544665</v>
      </c>
      <c r="I49" s="229">
        <f ca="1">I44*'Large array correction'!$E18</f>
        <v>7.5058835694580068</v>
      </c>
      <c r="J49" s="229">
        <f ca="1">J44*'Large array correction'!$E18</f>
        <v>8.6117761152987438</v>
      </c>
      <c r="K49" s="229">
        <f ca="1">K44*'Large array correction'!$E18</f>
        <v>4.8767505762554073</v>
      </c>
      <c r="L49" s="229">
        <f ca="1">L44*'Large array correction'!$E18</f>
        <v>16.341056727001373</v>
      </c>
      <c r="M49" s="229">
        <f ca="1">M44*'Large array correction'!$E18</f>
        <v>23.673748610261089</v>
      </c>
      <c r="N49" s="229">
        <f ca="1">N44*'Large array correction'!$E18</f>
        <v>7.3194381824849373</v>
      </c>
      <c r="O49" s="229">
        <f ca="1">O44*'Large array correction'!$E18</f>
        <v>4.1443962081063646</v>
      </c>
      <c r="P49" s="229">
        <f ca="1">P44*'Large array correction'!$E18</f>
        <v>1.022311418916299</v>
      </c>
      <c r="R49" s="98">
        <f ca="1">R44*'Large array correction'!$E18</f>
        <v>105.34989262946959</v>
      </c>
    </row>
    <row r="51" spans="4:18" x14ac:dyDescent="0.4">
      <c r="D51" s="47"/>
    </row>
  </sheetData>
  <sheetProtection selectLockedCells="1"/>
  <protectedRanges>
    <protectedRange sqref="C39" name="output_option"/>
  </protectedRanges>
  <phoneticPr fontId="0" type="noConversion"/>
  <dataValidations count="1">
    <dataValidation type="list" allowBlank="1" showInputMessage="1" showErrorMessage="1" sqref="C39" xr:uid="{00000000-0002-0000-0100-000000000000}">
      <formula1>"Option 1,Option 2,Option 3"</formula1>
    </dataValidation>
  </dataValidations>
  <pageMargins left="0.55118110236220474" right="0.55118110236220474" top="0.78740157480314965" bottom="0.78740157480314965" header="0.51181102362204722" footer="0.51181102362204722"/>
  <pageSetup paperSize="9" scale="75" orientation="landscape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"/>
  <sheetViews>
    <sheetView topLeftCell="A9" zoomScale="85" zoomScaleNormal="85" workbookViewId="0">
      <selection activeCell="A21" sqref="A21"/>
    </sheetView>
  </sheetViews>
  <sheetFormatPr defaultRowHeight="12.3" x14ac:dyDescent="0.4"/>
  <cols>
    <col min="1" max="1" width="20.5546875" customWidth="1"/>
    <col min="9" max="9" width="7" customWidth="1"/>
  </cols>
  <sheetData>
    <row r="1" spans="1:13" x14ac:dyDescent="0.4">
      <c r="A1" s="1" t="s">
        <v>149</v>
      </c>
      <c r="B1" s="5"/>
    </row>
    <row r="2" spans="1:13" x14ac:dyDescent="0.4">
      <c r="A2" s="1" t="s">
        <v>150</v>
      </c>
      <c r="B2" s="5"/>
    </row>
    <row r="3" spans="1:13" x14ac:dyDescent="0.4">
      <c r="A3" s="6"/>
      <c r="B3" s="5"/>
    </row>
    <row r="4" spans="1:13" x14ac:dyDescent="0.4">
      <c r="A4" s="94"/>
      <c r="B4" s="1" t="s">
        <v>127</v>
      </c>
      <c r="F4" s="7"/>
      <c r="J4" s="7"/>
    </row>
    <row r="5" spans="1:13" x14ac:dyDescent="0.4">
      <c r="A5" s="38"/>
      <c r="B5" s="1" t="s">
        <v>128</v>
      </c>
    </row>
    <row r="6" spans="1:13" x14ac:dyDescent="0.4">
      <c r="A6" s="95"/>
      <c r="B6" s="5" t="s">
        <v>119</v>
      </c>
    </row>
    <row r="7" spans="1:13" x14ac:dyDescent="0.4">
      <c r="A7" s="96"/>
      <c r="B7" s="5" t="s">
        <v>120</v>
      </c>
    </row>
    <row r="8" spans="1:13" x14ac:dyDescent="0.4">
      <c r="B8" s="5"/>
    </row>
    <row r="9" spans="1:13" x14ac:dyDescent="0.4">
      <c r="A9" s="8"/>
      <c r="B9" s="45"/>
      <c r="C9" s="10"/>
      <c r="D9" s="11" t="s">
        <v>33</v>
      </c>
      <c r="E9" s="11"/>
      <c r="F9" s="10"/>
      <c r="G9" s="10"/>
      <c r="H9" s="10"/>
      <c r="I9" s="10"/>
      <c r="J9" s="10"/>
      <c r="K9" s="10"/>
    </row>
    <row r="10" spans="1:13" x14ac:dyDescent="0.4">
      <c r="A10" s="8" t="s">
        <v>34</v>
      </c>
      <c r="B10" s="122">
        <f>'Input data'!C33</f>
        <v>3</v>
      </c>
      <c r="C10" s="10"/>
      <c r="D10" s="10"/>
      <c r="E10" s="10"/>
      <c r="F10" s="10"/>
      <c r="G10" s="230" t="s">
        <v>35</v>
      </c>
      <c r="H10" s="231"/>
      <c r="I10" s="232"/>
      <c r="J10" s="88" t="s">
        <v>36</v>
      </c>
      <c r="K10" s="87"/>
    </row>
    <row r="11" spans="1:13" x14ac:dyDescent="0.4">
      <c r="A11" s="8" t="s">
        <v>37</v>
      </c>
      <c r="B11" s="123">
        <f>'Input data'!C38</f>
        <v>4.21</v>
      </c>
      <c r="C11" s="10" t="s">
        <v>38</v>
      </c>
      <c r="D11" s="12" t="s">
        <v>39</v>
      </c>
      <c r="E11" s="12" t="s">
        <v>40</v>
      </c>
      <c r="F11" s="13" t="s">
        <v>41</v>
      </c>
      <c r="G11" s="10" t="s">
        <v>42</v>
      </c>
      <c r="H11" s="14"/>
      <c r="I11" s="83"/>
      <c r="J11" s="86" t="s">
        <v>42</v>
      </c>
      <c r="K11" s="14"/>
    </row>
    <row r="12" spans="1:13" x14ac:dyDescent="0.4">
      <c r="A12" s="8" t="s">
        <v>43</v>
      </c>
      <c r="B12" s="122">
        <f>'Input data'!C39</f>
        <v>15</v>
      </c>
      <c r="C12" s="15">
        <f>B12*PI()/180</f>
        <v>0.26179938779914941</v>
      </c>
      <c r="D12" s="12" t="s">
        <v>44</v>
      </c>
      <c r="E12" s="12" t="s">
        <v>45</v>
      </c>
      <c r="F12" s="16" t="s">
        <v>46</v>
      </c>
      <c r="G12" s="10" t="s">
        <v>47</v>
      </c>
      <c r="H12" s="14" t="s">
        <v>48</v>
      </c>
      <c r="I12" s="83"/>
      <c r="J12" s="86" t="s">
        <v>47</v>
      </c>
      <c r="K12" s="14" t="s">
        <v>48</v>
      </c>
    </row>
    <row r="13" spans="1:13" x14ac:dyDescent="0.4">
      <c r="A13" s="8"/>
      <c r="B13" s="9"/>
      <c r="C13" s="15"/>
      <c r="D13" s="12"/>
      <c r="E13" s="12"/>
      <c r="F13" s="16"/>
      <c r="G13" s="10"/>
      <c r="H13" s="14"/>
      <c r="I13" s="83"/>
      <c r="J13" s="86"/>
      <c r="K13" s="14"/>
    </row>
    <row r="14" spans="1:13" x14ac:dyDescent="0.4">
      <c r="A14" s="8" t="s">
        <v>32</v>
      </c>
      <c r="B14" s="124" t="str">
        <f>'Input data'!C9</f>
        <v>Gannet</v>
      </c>
      <c r="C14" s="17"/>
      <c r="D14" s="18">
        <v>0</v>
      </c>
      <c r="E14" s="10"/>
      <c r="F14" s="91"/>
      <c r="G14" s="29"/>
      <c r="H14" s="140">
        <v>1</v>
      </c>
      <c r="I14" s="82"/>
      <c r="J14" s="92"/>
      <c r="K14" s="140">
        <v>1</v>
      </c>
    </row>
    <row r="15" spans="1:13" x14ac:dyDescent="0.4">
      <c r="A15" s="8" t="s">
        <v>49</v>
      </c>
      <c r="B15" s="125">
        <f>'Input data'!C10</f>
        <v>0.94</v>
      </c>
      <c r="C15" s="10" t="s">
        <v>38</v>
      </c>
      <c r="D15" s="18">
        <f>D14+B$27</f>
        <v>0.05</v>
      </c>
      <c r="E15" s="121">
        <v>0.73</v>
      </c>
      <c r="F15" s="91">
        <f>$B$19*$B$22/(D15*($B$20)*2*PI())</f>
        <v>4.9990169213580833</v>
      </c>
      <c r="G15" s="29">
        <f>ABS($B$11*$E15*SIN($C$12)+($F15*$B$11*$E15*COS($C$12)))+IF($F15&lt;$B$25,$B$15,$B$16*$C$17*$F15)</f>
        <v>21.109263018548191</v>
      </c>
      <c r="H15" s="140">
        <f t="shared" ref="H15:H34" si="0">MIN(1,($B$10/$B$22)*G15/$B$19)</f>
        <v>0.70128088551552714</v>
      </c>
      <c r="I15" s="82"/>
      <c r="J15" s="92">
        <f>ABS(-$B$11*$E15*SIN($C$12)+($F15*$B$11*$E15*COS($C$12)))+IF($F15&lt;$B$25,$B$15,$B$16*$C$17*$F15)</f>
        <v>19.518405875921033</v>
      </c>
      <c r="K15" s="140">
        <f t="shared" ref="K15:K34" si="1">MIN(1,($B$10/$B$22)*J15/$B$19)</f>
        <v>0.64843026232086654</v>
      </c>
    </row>
    <row r="16" spans="1:13" x14ac:dyDescent="0.4">
      <c r="A16" s="8" t="s">
        <v>2</v>
      </c>
      <c r="B16" s="125">
        <f>'Input data'!C11</f>
        <v>1.72</v>
      </c>
      <c r="C16" s="10" t="s">
        <v>38</v>
      </c>
      <c r="D16" s="18">
        <f t="shared" ref="D16:D34" si="2">D15+B$27</f>
        <v>0.1</v>
      </c>
      <c r="E16" s="121">
        <v>0.79</v>
      </c>
      <c r="F16" s="91">
        <f t="shared" ref="F16:F34" si="3">$B$19*$B$22/(D16*($B$20)*2*PI())</f>
        <v>2.4995084606790416</v>
      </c>
      <c r="G16" s="29">
        <f t="shared" ref="G16:G34" si="4">ABS($B$11*$E16*SIN($C$12)+($F16*$B$11*$E16*COS($C$12)))+IF($F16&lt;$B$25,$B$15,$B$16*$C$17*$F16)</f>
        <v>11.627585712938775</v>
      </c>
      <c r="H16" s="140">
        <f t="shared" si="0"/>
        <v>0.38628556563118749</v>
      </c>
      <c r="I16" s="82"/>
      <c r="J16" s="92">
        <f t="shared" ref="J16:J34" si="5">ABS(-$B$11*$E16*SIN($C$12)+($F16*$B$11*$E16*COS($C$12)))+IF($F16&lt;$B$25,$B$15,$B$16*$C$17*$F16)</f>
        <v>9.9059731887258273</v>
      </c>
      <c r="K16" s="140">
        <f t="shared" si="1"/>
        <v>0.32909105559860968</v>
      </c>
      <c r="M16" s="84"/>
    </row>
    <row r="17" spans="1:11" x14ac:dyDescent="0.4">
      <c r="A17" s="8" t="s">
        <v>142</v>
      </c>
      <c r="B17" s="122">
        <f>IF('Input data'!$C$14="flapping",0,IF('Input data'!$C$14="gliding",1,"!Error in type!"))</f>
        <v>1</v>
      </c>
      <c r="C17" s="20">
        <f>IF(B17,2/PI(),1)</f>
        <v>0.63661977236758138</v>
      </c>
      <c r="D17" s="18">
        <f t="shared" si="2"/>
        <v>0.15000000000000002</v>
      </c>
      <c r="E17" s="121">
        <v>0.88</v>
      </c>
      <c r="F17" s="91">
        <f t="shared" si="3"/>
        <v>1.6663389737860272</v>
      </c>
      <c r="G17" s="29">
        <f t="shared" si="4"/>
        <v>8.746587992732346</v>
      </c>
      <c r="H17" s="140">
        <f t="shared" si="0"/>
        <v>0.29057456754379268</v>
      </c>
      <c r="I17" s="82"/>
      <c r="J17" s="92">
        <f t="shared" si="5"/>
        <v>6.8288423961407076</v>
      </c>
      <c r="K17" s="140">
        <f t="shared" si="1"/>
        <v>0.22686422725433894</v>
      </c>
    </row>
    <row r="18" spans="1:11" x14ac:dyDescent="0.4">
      <c r="A18" s="8" t="s">
        <v>152</v>
      </c>
      <c r="B18" s="126">
        <f>'Input data'!C20</f>
        <v>0.5</v>
      </c>
      <c r="C18" s="10" t="s">
        <v>24</v>
      </c>
      <c r="D18" s="18">
        <f t="shared" si="2"/>
        <v>0.2</v>
      </c>
      <c r="E18" s="121">
        <v>0.96</v>
      </c>
      <c r="F18" s="91">
        <f t="shared" si="3"/>
        <v>1.2497542303395208</v>
      </c>
      <c r="G18" s="29">
        <f t="shared" si="4"/>
        <v>7.293404266657074</v>
      </c>
      <c r="H18" s="140">
        <f t="shared" si="0"/>
        <v>0.24229765852317126</v>
      </c>
      <c r="I18" s="82"/>
      <c r="J18" s="92">
        <f t="shared" si="5"/>
        <v>5.2013181612843784</v>
      </c>
      <c r="K18" s="140">
        <f t="shared" si="1"/>
        <v>0.17279546911649446</v>
      </c>
    </row>
    <row r="19" spans="1:11" x14ac:dyDescent="0.4">
      <c r="A19" s="8" t="s">
        <v>50</v>
      </c>
      <c r="B19" s="122">
        <f>'Input data'!C12</f>
        <v>14.9</v>
      </c>
      <c r="C19" s="10" t="s">
        <v>51</v>
      </c>
      <c r="D19" s="18">
        <f t="shared" si="2"/>
        <v>0.25</v>
      </c>
      <c r="E19" s="121">
        <v>1</v>
      </c>
      <c r="F19" s="91">
        <f t="shared" si="3"/>
        <v>0.99980338427161641</v>
      </c>
      <c r="G19" s="29">
        <f t="shared" si="4"/>
        <v>6.2501470783155249</v>
      </c>
      <c r="H19" s="140">
        <f t="shared" si="0"/>
        <v>0.2076391143467238</v>
      </c>
      <c r="I19" s="82"/>
      <c r="J19" s="92">
        <f t="shared" si="5"/>
        <v>4.0708907185523007</v>
      </c>
      <c r="K19" s="140">
        <f t="shared" si="1"/>
        <v>0.13524100038143549</v>
      </c>
    </row>
    <row r="20" spans="1:11" x14ac:dyDescent="0.4">
      <c r="A20" s="8" t="s">
        <v>144</v>
      </c>
      <c r="B20" s="122">
        <f>'Input data'!C35</f>
        <v>57.5</v>
      </c>
      <c r="C20" s="10" t="s">
        <v>38</v>
      </c>
      <c r="D20" s="18">
        <f t="shared" si="2"/>
        <v>0.3</v>
      </c>
      <c r="E20" s="121">
        <v>0.98</v>
      </c>
      <c r="F20" s="91">
        <f t="shared" si="3"/>
        <v>0.83316948689301373</v>
      </c>
      <c r="G20" s="29">
        <f t="shared" si="4"/>
        <v>5.3005055619550188</v>
      </c>
      <c r="H20" s="140">
        <f t="shared" si="0"/>
        <v>0.17609062101796874</v>
      </c>
      <c r="I20" s="82"/>
      <c r="J20" s="92">
        <f t="shared" si="5"/>
        <v>3.1648343293870589</v>
      </c>
      <c r="K20" s="140">
        <f t="shared" si="1"/>
        <v>0.10514046933198617</v>
      </c>
    </row>
    <row r="21" spans="1:11" x14ac:dyDescent="0.4">
      <c r="A21" s="10" t="s">
        <v>132</v>
      </c>
      <c r="B21" s="127">
        <f>'Input data'!C34</f>
        <v>9.9</v>
      </c>
      <c r="C21" s="10" t="s">
        <v>131</v>
      </c>
      <c r="D21" s="18">
        <f t="shared" si="2"/>
        <v>0.35</v>
      </c>
      <c r="E21" s="121">
        <v>0.92</v>
      </c>
      <c r="F21" s="91">
        <f t="shared" si="3"/>
        <v>0.71414527447972609</v>
      </c>
      <c r="G21" s="29">
        <f t="shared" si="4"/>
        <v>4.4562143854334044</v>
      </c>
      <c r="H21" s="140">
        <f t="shared" si="0"/>
        <v>0.14804202152949902</v>
      </c>
      <c r="I21" s="82"/>
      <c r="J21" s="92">
        <f t="shared" si="5"/>
        <v>2.451298534451237</v>
      </c>
      <c r="K21" s="140">
        <f t="shared" si="1"/>
        <v>8.1435756681433713E-2</v>
      </c>
    </row>
    <row r="22" spans="1:11" x14ac:dyDescent="0.4">
      <c r="A22" s="8" t="s">
        <v>145</v>
      </c>
      <c r="B22" s="128">
        <f>60/B21</f>
        <v>6.0606060606060606</v>
      </c>
      <c r="C22" s="10" t="s">
        <v>52</v>
      </c>
      <c r="D22" s="18">
        <f t="shared" si="2"/>
        <v>0.39999999999999997</v>
      </c>
      <c r="E22" s="121">
        <v>0.85</v>
      </c>
      <c r="F22" s="91">
        <f t="shared" si="3"/>
        <v>0.62487711516976052</v>
      </c>
      <c r="G22" s="29">
        <f t="shared" si="4"/>
        <v>3.7703443724111945</v>
      </c>
      <c r="H22" s="140">
        <f t="shared" si="0"/>
        <v>0.12525640700292223</v>
      </c>
      <c r="I22" s="82"/>
      <c r="J22" s="92">
        <f t="shared" si="5"/>
        <v>1.9179764666124535</v>
      </c>
      <c r="K22" s="140">
        <f t="shared" si="1"/>
        <v>6.3718010132427144E-2</v>
      </c>
    </row>
    <row r="23" spans="1:11" x14ac:dyDescent="0.4">
      <c r="D23" s="18">
        <f t="shared" si="2"/>
        <v>0.44999999999999996</v>
      </c>
      <c r="E23" s="121">
        <v>0.8</v>
      </c>
      <c r="F23" s="91">
        <f t="shared" si="3"/>
        <v>0.5554463245953426</v>
      </c>
      <c r="G23" s="29">
        <f t="shared" si="4"/>
        <v>3.2869076895426534</v>
      </c>
      <c r="H23" s="140">
        <f t="shared" si="0"/>
        <v>0.10919592659890022</v>
      </c>
      <c r="I23" s="82"/>
      <c r="J23" s="92">
        <f t="shared" si="5"/>
        <v>1.5435026017320732</v>
      </c>
      <c r="K23" s="140">
        <f t="shared" si="1"/>
        <v>5.1277435426669543E-2</v>
      </c>
    </row>
    <row r="24" spans="1:11" x14ac:dyDescent="0.4">
      <c r="A24" s="10"/>
      <c r="B24" s="21"/>
      <c r="C24" s="10"/>
      <c r="D24" s="18">
        <f t="shared" si="2"/>
        <v>0.49999999999999994</v>
      </c>
      <c r="E24" s="121">
        <v>0.75</v>
      </c>
      <c r="F24" s="91">
        <f t="shared" si="3"/>
        <v>0.49990169213580832</v>
      </c>
      <c r="G24" s="29">
        <f t="shared" si="4"/>
        <v>3.2818767029486962</v>
      </c>
      <c r="H24" s="140">
        <f t="shared" si="0"/>
        <v>0.10902878979594662</v>
      </c>
      <c r="I24" s="82"/>
      <c r="J24" s="92">
        <f t="shared" si="5"/>
        <v>1.6474344331262776</v>
      </c>
      <c r="K24" s="140">
        <f t="shared" si="1"/>
        <v>5.4730204321980364E-2</v>
      </c>
    </row>
    <row r="25" spans="1:11" x14ac:dyDescent="0.4">
      <c r="A25" s="10" t="s">
        <v>78</v>
      </c>
      <c r="B25" s="25">
        <f>B15/B16</f>
        <v>0.54651162790697672</v>
      </c>
      <c r="C25" s="10"/>
      <c r="D25" s="18">
        <f t="shared" si="2"/>
        <v>0.54999999999999993</v>
      </c>
      <c r="E25" s="121">
        <v>0.7</v>
      </c>
      <c r="F25" s="91">
        <f t="shared" si="3"/>
        <v>0.45445608375982571</v>
      </c>
      <c r="G25" s="29">
        <f t="shared" si="4"/>
        <v>2.9963868745549957</v>
      </c>
      <c r="H25" s="140">
        <f t="shared" si="0"/>
        <v>9.9544396168102206E-2</v>
      </c>
      <c r="I25" s="82"/>
      <c r="J25" s="92">
        <f t="shared" si="5"/>
        <v>1.4709074227207388</v>
      </c>
      <c r="K25" s="140">
        <f t="shared" si="1"/>
        <v>4.8865716392400387E-2</v>
      </c>
    </row>
    <row r="26" spans="1:11" x14ac:dyDescent="0.4">
      <c r="A26" s="10"/>
      <c r="B26" s="21"/>
      <c r="C26" s="10"/>
      <c r="D26" s="18">
        <f t="shared" si="2"/>
        <v>0.6</v>
      </c>
      <c r="E26" s="121">
        <v>0.64</v>
      </c>
      <c r="F26" s="91">
        <f t="shared" si="3"/>
        <v>0.41658474344650687</v>
      </c>
      <c r="G26" s="29">
        <f t="shared" si="4"/>
        <v>2.7215615501731114</v>
      </c>
      <c r="H26" s="140">
        <f t="shared" si="0"/>
        <v>9.0414293109777846E-2</v>
      </c>
      <c r="I26" s="82"/>
      <c r="J26" s="92">
        <f t="shared" si="5"/>
        <v>1.3268374799246474</v>
      </c>
      <c r="K26" s="140">
        <f t="shared" si="1"/>
        <v>4.4079500171993316E-2</v>
      </c>
    </row>
    <row r="27" spans="1:11" x14ac:dyDescent="0.4">
      <c r="A27" s="10" t="s">
        <v>56</v>
      </c>
      <c r="B27" s="129">
        <v>0.05</v>
      </c>
      <c r="C27" s="10"/>
      <c r="D27" s="18">
        <f t="shared" si="2"/>
        <v>0.65</v>
      </c>
      <c r="E27" s="121">
        <v>0.57999999999999996</v>
      </c>
      <c r="F27" s="91">
        <f t="shared" si="3"/>
        <v>0.38453976318139099</v>
      </c>
      <c r="G27" s="29">
        <f t="shared" si="4"/>
        <v>2.4789589386510706</v>
      </c>
      <c r="H27" s="140">
        <f t="shared" si="0"/>
        <v>8.2354676149817438E-2</v>
      </c>
      <c r="I27" s="82"/>
      <c r="J27" s="92">
        <f t="shared" si="5"/>
        <v>1.2149902499884004</v>
      </c>
      <c r="K27" s="140">
        <f t="shared" si="1"/>
        <v>4.0363770049950211E-2</v>
      </c>
    </row>
    <row r="28" spans="1:11" x14ac:dyDescent="0.4">
      <c r="A28" s="10"/>
      <c r="B28" s="21"/>
      <c r="C28" s="10"/>
      <c r="D28" s="18">
        <f t="shared" si="2"/>
        <v>0.70000000000000007</v>
      </c>
      <c r="E28" s="121">
        <v>0.52</v>
      </c>
      <c r="F28" s="91">
        <f t="shared" si="3"/>
        <v>0.35707263723986299</v>
      </c>
      <c r="G28" s="29">
        <f t="shared" si="4"/>
        <v>2.2616741729474792</v>
      </c>
      <c r="H28" s="140">
        <f t="shared" si="0"/>
        <v>7.5136155410000141E-2</v>
      </c>
      <c r="I28" s="82"/>
      <c r="J28" s="92">
        <f t="shared" si="5"/>
        <v>1.1284608658706023</v>
      </c>
      <c r="K28" s="140">
        <f t="shared" si="1"/>
        <v>3.748913614805021E-2</v>
      </c>
    </row>
    <row r="29" spans="1:11" x14ac:dyDescent="0.4">
      <c r="A29" s="10"/>
      <c r="B29" s="21"/>
      <c r="C29" s="10"/>
      <c r="D29" s="18">
        <f t="shared" si="2"/>
        <v>0.75000000000000011</v>
      </c>
      <c r="E29" s="121">
        <v>0.47</v>
      </c>
      <c r="F29" s="91">
        <f t="shared" si="3"/>
        <v>0.33326779475720547</v>
      </c>
      <c r="G29" s="29">
        <f t="shared" si="4"/>
        <v>2.0890924596355744</v>
      </c>
      <c r="H29" s="140">
        <f t="shared" si="0"/>
        <v>6.9402736075141566E-2</v>
      </c>
      <c r="I29" s="82"/>
      <c r="J29" s="92">
        <f t="shared" si="5"/>
        <v>1.0648419705468588</v>
      </c>
      <c r="K29" s="140">
        <f t="shared" si="1"/>
        <v>3.5375622511456047E-2</v>
      </c>
    </row>
    <row r="30" spans="1:11" x14ac:dyDescent="0.4">
      <c r="A30" s="10"/>
      <c r="B30" s="22"/>
      <c r="C30" s="10"/>
      <c r="D30" s="18">
        <f t="shared" si="2"/>
        <v>0.80000000000000016</v>
      </c>
      <c r="E30" s="121">
        <v>0.41</v>
      </c>
      <c r="F30" s="91">
        <f t="shared" si="3"/>
        <v>0.31243855758488009</v>
      </c>
      <c r="G30" s="29">
        <f t="shared" si="4"/>
        <v>1.907671539497602</v>
      </c>
      <c r="H30" s="140">
        <f t="shared" si="0"/>
        <v>6.3375665238343148E-2</v>
      </c>
      <c r="I30" s="82"/>
      <c r="J30" s="92">
        <f t="shared" si="5"/>
        <v>1.01417643199468</v>
      </c>
      <c r="K30" s="140">
        <f t="shared" si="1"/>
        <v>3.3692438512574939E-2</v>
      </c>
    </row>
    <row r="31" spans="1:11" x14ac:dyDescent="0.4">
      <c r="B31" s="5"/>
      <c r="D31" s="18">
        <f t="shared" si="2"/>
        <v>0.8500000000000002</v>
      </c>
      <c r="E31" s="121">
        <v>0.37</v>
      </c>
      <c r="F31" s="91">
        <f t="shared" si="3"/>
        <v>0.29405981890341654</v>
      </c>
      <c r="G31" s="29">
        <f t="shared" si="4"/>
        <v>1.7856114933592315</v>
      </c>
      <c r="H31" s="140">
        <f t="shared" si="0"/>
        <v>5.932065028273957E-2</v>
      </c>
      <c r="I31" s="82"/>
      <c r="J31" s="92">
        <f t="shared" si="5"/>
        <v>0.97928664024683865</v>
      </c>
      <c r="K31" s="140">
        <f t="shared" si="1"/>
        <v>3.2533348115582894E-2</v>
      </c>
    </row>
    <row r="32" spans="1:11" x14ac:dyDescent="0.4">
      <c r="B32" s="5"/>
      <c r="D32" s="18">
        <f t="shared" si="2"/>
        <v>0.90000000000000024</v>
      </c>
      <c r="E32" s="121">
        <v>0.3</v>
      </c>
      <c r="F32" s="91">
        <f t="shared" si="3"/>
        <v>0.27772316229767119</v>
      </c>
      <c r="G32" s="29">
        <f t="shared" si="4"/>
        <v>1.6057008024172583</v>
      </c>
      <c r="H32" s="140">
        <f t="shared" si="0"/>
        <v>5.3343751489700858E-2</v>
      </c>
      <c r="I32" s="82"/>
      <c r="J32" s="92">
        <f t="shared" si="5"/>
        <v>0.95192389448829096</v>
      </c>
      <c r="K32" s="140">
        <f t="shared" si="1"/>
        <v>3.1624317300114363E-2</v>
      </c>
    </row>
    <row r="33" spans="2:11" x14ac:dyDescent="0.4">
      <c r="B33" s="5"/>
      <c r="D33" s="18">
        <f t="shared" si="2"/>
        <v>0.95000000000000029</v>
      </c>
      <c r="E33" s="121">
        <v>0.24</v>
      </c>
      <c r="F33" s="91">
        <f t="shared" si="3"/>
        <v>0.26310615375568847</v>
      </c>
      <c r="G33" s="29">
        <f t="shared" si="4"/>
        <v>1.4582948588410583</v>
      </c>
      <c r="H33" s="140">
        <f t="shared" si="0"/>
        <v>4.8446708397739853E-2</v>
      </c>
      <c r="I33" s="82"/>
      <c r="J33" s="92">
        <f t="shared" si="5"/>
        <v>0.94472666750211554</v>
      </c>
      <c r="K33" s="140">
        <f t="shared" si="1"/>
        <v>3.1385214792855512E-2</v>
      </c>
    </row>
    <row r="34" spans="2:11" x14ac:dyDescent="0.4">
      <c r="B34" s="5"/>
      <c r="D34" s="18">
        <f t="shared" si="2"/>
        <v>1.0000000000000002</v>
      </c>
      <c r="E34" s="121">
        <v>0</v>
      </c>
      <c r="F34" s="91">
        <f t="shared" si="3"/>
        <v>0.24995084606790408</v>
      </c>
      <c r="G34" s="29">
        <f t="shared" si="4"/>
        <v>0.94</v>
      </c>
      <c r="H34" s="140">
        <f t="shared" si="0"/>
        <v>3.1228187919463087E-2</v>
      </c>
      <c r="I34" s="82"/>
      <c r="J34" s="92">
        <f t="shared" si="5"/>
        <v>0.94</v>
      </c>
      <c r="K34" s="140">
        <f t="shared" si="1"/>
        <v>3.1228187919463087E-2</v>
      </c>
    </row>
    <row r="35" spans="2:11" x14ac:dyDescent="0.4">
      <c r="B35" s="5"/>
      <c r="D35" s="10"/>
      <c r="E35" s="19"/>
      <c r="F35" s="82"/>
      <c r="G35" s="18"/>
      <c r="H35" s="18"/>
      <c r="I35" s="18"/>
    </row>
    <row r="36" spans="2:11" x14ac:dyDescent="0.4">
      <c r="B36" s="5"/>
      <c r="D36" s="11" t="s">
        <v>115</v>
      </c>
    </row>
    <row r="37" spans="2:11" x14ac:dyDescent="0.4">
      <c r="B37" s="5"/>
      <c r="G37" s="11" t="s">
        <v>53</v>
      </c>
      <c r="H37" s="93">
        <f>2*(SUMPRODUCT($D15:$D33,H15:H33)+H34/2)*$B$27</f>
        <v>9.5399193707952079E-2</v>
      </c>
      <c r="I37" s="81"/>
      <c r="J37" s="11" t="s">
        <v>54</v>
      </c>
      <c r="K37" s="93">
        <f>2*(SUMPRODUCT($D15:$D33,K15:K33)+K34/2)*$B$27</f>
        <v>5.6453504160683669E-2</v>
      </c>
    </row>
    <row r="38" spans="2:11" x14ac:dyDescent="0.4">
      <c r="C38" s="119"/>
      <c r="E38" s="28" t="s">
        <v>154</v>
      </c>
    </row>
    <row r="39" spans="2:11" x14ac:dyDescent="0.4">
      <c r="B39" s="5"/>
      <c r="C39" s="10"/>
      <c r="D39" s="120">
        <f>B18</f>
        <v>0.5</v>
      </c>
      <c r="E39" s="120">
        <f>1-B18</f>
        <v>0.5</v>
      </c>
      <c r="H39" s="11" t="s">
        <v>55</v>
      </c>
      <c r="I39" s="23">
        <f>(D39*H37+E39*K37)</f>
        <v>7.5926348934317878E-2</v>
      </c>
      <c r="J39" s="10" t="s">
        <v>116</v>
      </c>
      <c r="K39" s="10"/>
    </row>
    <row r="40" spans="2:11" x14ac:dyDescent="0.4">
      <c r="B40" s="5"/>
      <c r="J40" s="85"/>
    </row>
  </sheetData>
  <sheetProtection sheet="1" objects="1" scenarios="1"/>
  <mergeCells count="1">
    <mergeCell ref="G10:I10"/>
  </mergeCells>
  <phoneticPr fontId="0" type="noConversion"/>
  <pageMargins left="0.75" right="0.75" top="1" bottom="1" header="0.5" footer="0.5"/>
  <pageSetup paperSize="9" scale="92" orientation="landscape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84"/>
  <sheetViews>
    <sheetView tabSelected="1" topLeftCell="A40" zoomScaleNormal="100" zoomScaleSheetLayoutView="75" workbookViewId="0">
      <selection activeCell="M51" sqref="M51"/>
    </sheetView>
  </sheetViews>
  <sheetFormatPr defaultRowHeight="12.3" x14ac:dyDescent="0.4"/>
  <cols>
    <col min="1" max="1" width="12.1640625" customWidth="1"/>
    <col min="7" max="7" width="10.27734375" customWidth="1"/>
    <col min="8" max="8" width="11.44140625" customWidth="1"/>
    <col min="13" max="13" width="9.38671875" bestFit="1" customWidth="1"/>
  </cols>
  <sheetData>
    <row r="1" spans="1:18" ht="12.6" thickBot="1" x14ac:dyDescent="0.45"/>
    <row r="2" spans="1:18" x14ac:dyDescent="0.4">
      <c r="A2" s="143" t="s">
        <v>161</v>
      </c>
      <c r="B2" s="66"/>
      <c r="C2" s="144" t="s">
        <v>162</v>
      </c>
      <c r="D2" s="145">
        <v>21</v>
      </c>
      <c r="F2" s="58" t="s">
        <v>163</v>
      </c>
      <c r="G2" s="66"/>
      <c r="H2" s="66"/>
      <c r="I2" s="66"/>
      <c r="J2" s="66"/>
      <c r="K2" s="66"/>
      <c r="L2" s="60"/>
    </row>
    <row r="3" spans="1:18" x14ac:dyDescent="0.4">
      <c r="A3" s="146"/>
      <c r="B3" s="83"/>
      <c r="C3" s="147" t="s">
        <v>39</v>
      </c>
      <c r="D3" s="148" t="s">
        <v>40</v>
      </c>
      <c r="E3" s="10"/>
      <c r="F3" s="146" t="s">
        <v>164</v>
      </c>
      <c r="G3" s="83" t="s">
        <v>165</v>
      </c>
      <c r="H3" s="83"/>
      <c r="I3" s="83"/>
      <c r="J3" s="83"/>
      <c r="K3" s="83"/>
      <c r="L3" s="149"/>
      <c r="M3" s="10"/>
      <c r="N3" s="10"/>
      <c r="O3" s="10"/>
      <c r="P3" s="10"/>
      <c r="Q3" s="10"/>
      <c r="R3" s="10"/>
    </row>
    <row r="4" spans="1:18" x14ac:dyDescent="0.4">
      <c r="A4" s="146" t="s">
        <v>34</v>
      </c>
      <c r="B4" s="83">
        <f>'Input data'!C33</f>
        <v>3</v>
      </c>
      <c r="C4" s="147">
        <v>0</v>
      </c>
      <c r="D4" s="150">
        <v>0.69</v>
      </c>
      <c r="E4" s="10"/>
      <c r="F4" s="146"/>
      <c r="G4" s="83"/>
      <c r="H4" s="83"/>
      <c r="I4" s="83"/>
      <c r="J4" s="83"/>
      <c r="K4" s="83"/>
      <c r="L4" s="149"/>
      <c r="M4" s="10"/>
      <c r="N4" s="10"/>
      <c r="O4" s="10"/>
      <c r="P4" s="10"/>
      <c r="Q4" s="10"/>
      <c r="R4" s="10"/>
    </row>
    <row r="5" spans="1:18" ht="13.5" customHeight="1" x14ac:dyDescent="0.4">
      <c r="A5" s="146" t="s">
        <v>166</v>
      </c>
      <c r="B5" s="83">
        <f>'Input data'!C35</f>
        <v>57.5</v>
      </c>
      <c r="C5" s="151">
        <v>0.05</v>
      </c>
      <c r="D5" s="152">
        <v>0.73</v>
      </c>
      <c r="E5" s="10"/>
      <c r="F5" s="153">
        <f ca="1">pcoll_rav($C5,"up")</f>
        <v>0.70255392789840698</v>
      </c>
      <c r="G5" s="151">
        <f t="shared" ref="G5:G24" ca="1" si="0">pcoll_rav($C5,"down")</f>
        <v>0.6497032642364502</v>
      </c>
      <c r="H5" s="83"/>
      <c r="I5" s="206"/>
      <c r="J5" s="206"/>
      <c r="K5" s="206"/>
      <c r="L5" s="149"/>
      <c r="M5" s="10"/>
      <c r="N5" s="10"/>
      <c r="O5" s="10"/>
      <c r="P5" s="10"/>
      <c r="Q5" s="10"/>
      <c r="R5" s="10"/>
    </row>
    <row r="6" spans="1:18" x14ac:dyDescent="0.4">
      <c r="A6" s="146" t="s">
        <v>130</v>
      </c>
      <c r="B6" s="83">
        <f>'Input data'!C34</f>
        <v>9.9</v>
      </c>
      <c r="C6" s="151">
        <f>C5+0.05</f>
        <v>0.1</v>
      </c>
      <c r="D6" s="152">
        <v>0.79</v>
      </c>
      <c r="E6" s="10"/>
      <c r="F6" s="153">
        <f ca="1">pcoll_rav($C6,"up")</f>
        <v>0.38850367069244385</v>
      </c>
      <c r="G6" s="151">
        <f t="shared" ca="1" si="0"/>
        <v>0.33130913972854614</v>
      </c>
      <c r="H6" s="83"/>
      <c r="I6" s="195"/>
      <c r="J6" s="195"/>
      <c r="K6" s="83"/>
      <c r="L6" s="149"/>
      <c r="M6" s="10"/>
      <c r="N6" s="10"/>
      <c r="O6" s="10"/>
      <c r="P6" s="10"/>
      <c r="Q6" s="10"/>
      <c r="R6" s="10"/>
    </row>
    <row r="7" spans="1:18" x14ac:dyDescent="0.4">
      <c r="A7" s="146" t="s">
        <v>37</v>
      </c>
      <c r="B7" s="83">
        <f>'Input data'!C38</f>
        <v>4.21</v>
      </c>
      <c r="C7" s="151">
        <f>C6+0.05</f>
        <v>0.15000000000000002</v>
      </c>
      <c r="D7" s="152">
        <v>0.88</v>
      </c>
      <c r="E7" s="10"/>
      <c r="F7" s="153">
        <f t="shared" ref="F7:F24" ca="1" si="1">pcoll_rav($C7,"up")</f>
        <v>0.29378816485404968</v>
      </c>
      <c r="G7" s="151">
        <f t="shared" ca="1" si="0"/>
        <v>0.23007781803607941</v>
      </c>
      <c r="H7" s="83"/>
      <c r="I7" s="195"/>
      <c r="J7" s="195"/>
      <c r="K7" s="83"/>
      <c r="L7" s="149"/>
      <c r="M7" s="10"/>
      <c r="N7" s="10"/>
      <c r="O7" s="10"/>
      <c r="P7" s="10"/>
      <c r="Q7" s="10"/>
      <c r="R7" s="10"/>
    </row>
    <row r="8" spans="1:18" x14ac:dyDescent="0.4">
      <c r="A8" s="146" t="s">
        <v>83</v>
      </c>
      <c r="B8" s="83">
        <f>'Input data'!C39</f>
        <v>15</v>
      </c>
      <c r="C8" s="151">
        <f t="shared" ref="C8:C24" si="2">C7+0.05</f>
        <v>0.2</v>
      </c>
      <c r="D8" s="152">
        <v>0.96</v>
      </c>
      <c r="E8" s="10"/>
      <c r="F8" s="153">
        <f t="shared" ca="1" si="1"/>
        <v>0.24676503241062164</v>
      </c>
      <c r="G8" s="151">
        <f t="shared" ca="1" si="0"/>
        <v>0.1772627979516983</v>
      </c>
      <c r="H8" s="83"/>
      <c r="I8" s="195"/>
      <c r="J8" s="195"/>
      <c r="K8" s="83"/>
      <c r="L8" s="149"/>
      <c r="M8" s="10"/>
      <c r="N8" s="10"/>
      <c r="O8" s="10"/>
      <c r="P8" s="10"/>
      <c r="Q8" s="10"/>
      <c r="R8" s="10"/>
    </row>
    <row r="9" spans="1:18" x14ac:dyDescent="0.4">
      <c r="A9" s="146" t="s">
        <v>167</v>
      </c>
      <c r="B9" s="83">
        <f>'Input data'!C36</f>
        <v>80</v>
      </c>
      <c r="C9" s="151">
        <f t="shared" si="2"/>
        <v>0.25</v>
      </c>
      <c r="D9" s="152">
        <v>1</v>
      </c>
      <c r="E9" s="10"/>
      <c r="F9" s="153">
        <f t="shared" ca="1" si="1"/>
        <v>0.21324385702610016</v>
      </c>
      <c r="G9" s="151">
        <f t="shared" ca="1" si="0"/>
        <v>0.14084571599960327</v>
      </c>
      <c r="H9" s="83"/>
      <c r="I9" s="195"/>
      <c r="J9" s="195"/>
      <c r="K9" s="83"/>
      <c r="L9" s="149"/>
      <c r="M9" s="10"/>
      <c r="N9" s="10"/>
      <c r="O9" s="10"/>
      <c r="P9" s="207">
        <f ca="1">(2/PI())*ydistsum(0.05, 0.05,"down",0)</f>
        <v>9.9558263262674771E-4</v>
      </c>
      <c r="Q9" s="10"/>
      <c r="R9" s="10"/>
    </row>
    <row r="10" spans="1:18" x14ac:dyDescent="0.4">
      <c r="A10" s="146" t="s">
        <v>168</v>
      </c>
      <c r="B10" s="83">
        <f>'Input data'!C28</f>
        <v>2.5</v>
      </c>
      <c r="C10" s="151">
        <f t="shared" si="2"/>
        <v>0.3</v>
      </c>
      <c r="D10" s="152">
        <v>0.98</v>
      </c>
      <c r="E10" s="10"/>
      <c r="F10" s="153">
        <f t="shared" ca="1" si="1"/>
        <v>0.18285484611988068</v>
      </c>
      <c r="G10" s="151">
        <f t="shared" ca="1" si="0"/>
        <v>0.11190470308065414</v>
      </c>
      <c r="H10" s="83"/>
      <c r="I10" s="195"/>
      <c r="J10" s="195"/>
      <c r="K10" s="83"/>
      <c r="L10" s="149"/>
      <c r="M10" s="10"/>
      <c r="N10" s="10"/>
      <c r="O10" s="10"/>
      <c r="P10" s="10"/>
      <c r="Q10" s="10"/>
      <c r="R10" s="10"/>
    </row>
    <row r="11" spans="1:18" x14ac:dyDescent="0.4">
      <c r="C11" s="151">
        <f t="shared" si="2"/>
        <v>0.35</v>
      </c>
      <c r="D11" s="152">
        <v>0.92</v>
      </c>
      <c r="E11" s="10"/>
      <c r="F11" s="153">
        <f t="shared" ca="1" si="1"/>
        <v>0.1560705304145813</v>
      </c>
      <c r="G11" s="151">
        <f t="shared" ca="1" si="0"/>
        <v>8.9464239776134491E-2</v>
      </c>
      <c r="H11" s="83"/>
      <c r="I11" s="195"/>
      <c r="J11" s="195"/>
      <c r="K11" s="83"/>
      <c r="L11" s="149"/>
      <c r="M11" s="10"/>
      <c r="N11" s="10"/>
      <c r="O11" s="10"/>
      <c r="P11" s="10"/>
      <c r="Q11" s="10"/>
      <c r="R11" s="10"/>
    </row>
    <row r="12" spans="1:18" x14ac:dyDescent="0.4">
      <c r="A12" s="146"/>
      <c r="B12" s="83"/>
      <c r="C12" s="151">
        <f t="shared" si="2"/>
        <v>0.39999999999999997</v>
      </c>
      <c r="D12" s="152">
        <v>0.85</v>
      </c>
      <c r="E12" s="10"/>
      <c r="F12" s="153">
        <f t="shared" ca="1" si="1"/>
        <v>0.13469773530960083</v>
      </c>
      <c r="G12" s="151">
        <f t="shared" ca="1" si="0"/>
        <v>7.315932959318161E-2</v>
      </c>
      <c r="H12" s="83"/>
      <c r="I12" s="195"/>
      <c r="J12" s="195"/>
      <c r="K12" s="83"/>
      <c r="L12" s="149"/>
      <c r="M12" s="10"/>
      <c r="N12" s="10"/>
      <c r="O12" s="10"/>
      <c r="P12" s="83"/>
      <c r="Q12" s="10"/>
      <c r="R12" s="10"/>
    </row>
    <row r="13" spans="1:18" x14ac:dyDescent="0.4">
      <c r="A13" s="146" t="s">
        <v>32</v>
      </c>
      <c r="B13" s="147" t="str">
        <f>'Input data'!C9</f>
        <v>Gannet</v>
      </c>
      <c r="C13" s="151">
        <f t="shared" si="2"/>
        <v>0.44999999999999996</v>
      </c>
      <c r="D13" s="152">
        <v>0.8</v>
      </c>
      <c r="E13" s="10"/>
      <c r="F13" s="153">
        <f t="shared" ca="1" si="1"/>
        <v>0.12025013566017151</v>
      </c>
      <c r="G13" s="151">
        <f t="shared" ca="1" si="0"/>
        <v>6.2331642955541611E-2</v>
      </c>
      <c r="H13" s="83"/>
      <c r="I13" s="195"/>
      <c r="J13" s="195"/>
      <c r="K13" s="83"/>
      <c r="L13" s="149"/>
      <c r="M13" s="10"/>
      <c r="N13" s="10"/>
      <c r="O13" s="10"/>
      <c r="P13" s="10"/>
      <c r="Q13" s="10"/>
      <c r="R13" s="10"/>
    </row>
    <row r="14" spans="1:18" x14ac:dyDescent="0.4">
      <c r="A14" s="146" t="s">
        <v>49</v>
      </c>
      <c r="B14" s="82">
        <f>'Input data'!C10</f>
        <v>0.94</v>
      </c>
      <c r="C14" s="151">
        <f t="shared" si="2"/>
        <v>0.49999999999999994</v>
      </c>
      <c r="D14" s="152">
        <v>0.75</v>
      </c>
      <c r="E14" s="10"/>
      <c r="F14" s="153">
        <f t="shared" ca="1" si="1"/>
        <v>0.10902880877256393</v>
      </c>
      <c r="G14" s="151">
        <f t="shared" ca="1" si="0"/>
        <v>5.4730191826820374E-2</v>
      </c>
      <c r="H14" s="83"/>
      <c r="I14" s="195"/>
      <c r="J14" s="195"/>
      <c r="K14" s="83"/>
      <c r="L14" s="149"/>
      <c r="M14" s="10"/>
      <c r="N14" s="10"/>
      <c r="O14" s="10"/>
      <c r="P14" s="10"/>
      <c r="Q14" s="10"/>
      <c r="R14" s="10"/>
    </row>
    <row r="15" spans="1:18" x14ac:dyDescent="0.4">
      <c r="A15" s="146" t="s">
        <v>2</v>
      </c>
      <c r="B15" s="82">
        <f>'Input data'!C11</f>
        <v>1.72</v>
      </c>
      <c r="C15" s="151">
        <f t="shared" si="2"/>
        <v>0.54999999999999993</v>
      </c>
      <c r="D15" s="152">
        <v>0.7</v>
      </c>
      <c r="E15" s="10"/>
      <c r="F15" s="153">
        <f t="shared" ca="1" si="1"/>
        <v>9.9544398486614227E-2</v>
      </c>
      <c r="G15" s="151">
        <f t="shared" ca="1" si="0"/>
        <v>4.8865720629692078E-2</v>
      </c>
      <c r="H15" s="83"/>
      <c r="I15" s="195"/>
      <c r="J15" s="195"/>
      <c r="K15" s="83"/>
      <c r="L15" s="149"/>
      <c r="M15" s="10"/>
      <c r="N15" s="10"/>
      <c r="O15" s="10"/>
      <c r="P15" s="10"/>
      <c r="Q15" s="10"/>
      <c r="R15" s="10"/>
    </row>
    <row r="16" spans="1:18" x14ac:dyDescent="0.4">
      <c r="A16" s="146" t="s">
        <v>50</v>
      </c>
      <c r="B16" s="83">
        <f>'Input data'!C12</f>
        <v>14.9</v>
      </c>
      <c r="C16" s="151">
        <f t="shared" si="2"/>
        <v>0.6</v>
      </c>
      <c r="D16" s="152">
        <v>0.64</v>
      </c>
      <c r="E16" s="10"/>
      <c r="F16" s="153">
        <f t="shared" ca="1" si="1"/>
        <v>9.0414293110370636E-2</v>
      </c>
      <c r="G16" s="151">
        <f t="shared" ca="1" si="0"/>
        <v>4.4079490005970001E-2</v>
      </c>
      <c r="H16" s="83"/>
      <c r="I16" s="195"/>
      <c r="J16" s="195"/>
      <c r="K16" s="83"/>
      <c r="L16" s="149"/>
      <c r="M16" s="10"/>
      <c r="N16" s="10"/>
      <c r="O16" s="10"/>
      <c r="P16" s="10"/>
      <c r="Q16" s="10"/>
      <c r="R16" s="10"/>
    </row>
    <row r="17" spans="1:18" x14ac:dyDescent="0.4">
      <c r="A17" s="146" t="s">
        <v>169</v>
      </c>
      <c r="B17" s="147" t="str">
        <f>'Input data'!C14</f>
        <v>gliding</v>
      </c>
      <c r="C17" s="151">
        <f t="shared" si="2"/>
        <v>0.65</v>
      </c>
      <c r="D17" s="152">
        <v>0.57999999999999996</v>
      </c>
      <c r="E17" s="10"/>
      <c r="F17" s="153">
        <f t="shared" ca="1" si="1"/>
        <v>8.2354672253131866E-2</v>
      </c>
      <c r="G17" s="151">
        <f t="shared" ca="1" si="0"/>
        <v>4.0363773703575134E-2</v>
      </c>
      <c r="H17" s="83"/>
      <c r="I17" s="195"/>
      <c r="J17" s="195"/>
      <c r="K17" s="83"/>
      <c r="L17" s="149"/>
      <c r="M17" s="10"/>
      <c r="N17" s="10"/>
      <c r="O17" s="10"/>
      <c r="P17" s="10"/>
      <c r="Q17" s="10"/>
      <c r="R17" s="10"/>
    </row>
    <row r="18" spans="1:18" x14ac:dyDescent="0.4">
      <c r="A18" s="146"/>
      <c r="B18" s="83"/>
      <c r="C18" s="151">
        <f t="shared" si="2"/>
        <v>0.70000000000000007</v>
      </c>
      <c r="D18" s="152">
        <v>0.52</v>
      </c>
      <c r="E18" s="10"/>
      <c r="F18" s="153">
        <f t="shared" ca="1" si="1"/>
        <v>7.5136169791221619E-2</v>
      </c>
      <c r="G18" s="151">
        <f t="shared" ca="1" si="0"/>
        <v>3.7489131093025208E-2</v>
      </c>
      <c r="H18" s="83"/>
      <c r="I18" s="195"/>
      <c r="J18" s="197"/>
      <c r="K18" s="83"/>
      <c r="L18" s="149"/>
      <c r="M18" s="10"/>
      <c r="N18" s="10"/>
      <c r="O18" s="10"/>
      <c r="P18" s="10"/>
      <c r="Q18" s="10"/>
      <c r="R18" s="10"/>
    </row>
    <row r="19" spans="1:18" x14ac:dyDescent="0.4">
      <c r="A19" s="146"/>
      <c r="B19" s="83"/>
      <c r="C19" s="151">
        <f t="shared" si="2"/>
        <v>0.75000000000000011</v>
      </c>
      <c r="D19" s="152">
        <v>0.47</v>
      </c>
      <c r="E19" s="18"/>
      <c r="F19" s="153">
        <f t="shared" ca="1" si="1"/>
        <v>6.9402739405632019E-2</v>
      </c>
      <c r="G19" s="151">
        <f t="shared" ca="1" si="0"/>
        <v>3.5375621169805527E-2</v>
      </c>
      <c r="H19" s="83"/>
      <c r="I19" s="195"/>
      <c r="J19" s="197"/>
      <c r="K19" s="83"/>
      <c r="L19" s="149"/>
      <c r="M19" s="10"/>
      <c r="N19" s="10"/>
      <c r="O19" s="10"/>
      <c r="P19" s="10"/>
      <c r="Q19" s="10"/>
      <c r="R19" s="10"/>
    </row>
    <row r="20" spans="1:18" x14ac:dyDescent="0.4">
      <c r="A20" s="146"/>
      <c r="B20" s="83"/>
      <c r="C20" s="151">
        <f t="shared" si="2"/>
        <v>0.80000000000000016</v>
      </c>
      <c r="D20" s="152">
        <v>0.41</v>
      </c>
      <c r="E20" s="10"/>
      <c r="F20" s="153">
        <f t="shared" ca="1" si="1"/>
        <v>6.3375666737556458E-2</v>
      </c>
      <c r="G20" s="151">
        <f t="shared" ca="1" si="0"/>
        <v>3.3692438155412674E-2</v>
      </c>
      <c r="H20" s="83"/>
      <c r="I20" s="195"/>
      <c r="J20" s="195"/>
      <c r="K20" s="83"/>
      <c r="L20" s="149"/>
      <c r="M20" s="10"/>
      <c r="N20" s="10"/>
      <c r="O20" s="10"/>
      <c r="P20" s="10"/>
      <c r="Q20" s="10"/>
      <c r="R20" s="10"/>
    </row>
    <row r="21" spans="1:18" x14ac:dyDescent="0.4">
      <c r="A21" s="146"/>
      <c r="B21" s="83"/>
      <c r="C21" s="151">
        <f t="shared" si="2"/>
        <v>0.8500000000000002</v>
      </c>
      <c r="D21" s="152">
        <v>0.37</v>
      </c>
      <c r="E21" s="10"/>
      <c r="F21" s="153">
        <f t="shared" ca="1" si="1"/>
        <v>5.9320647269487381E-2</v>
      </c>
      <c r="G21" s="151">
        <f t="shared" ca="1" si="0"/>
        <v>3.2533347606658936E-2</v>
      </c>
      <c r="H21" s="83"/>
      <c r="I21" s="195"/>
      <c r="J21" s="195"/>
      <c r="K21" s="83"/>
      <c r="L21" s="149"/>
      <c r="M21" s="10"/>
      <c r="N21" s="10"/>
      <c r="O21" s="10"/>
      <c r="P21" s="10"/>
      <c r="Q21" s="10"/>
      <c r="R21" s="10"/>
    </row>
    <row r="22" spans="1:18" x14ac:dyDescent="0.4">
      <c r="A22" s="146"/>
      <c r="B22" s="83"/>
      <c r="C22" s="151">
        <f t="shared" si="2"/>
        <v>0.90000000000000024</v>
      </c>
      <c r="D22" s="152">
        <v>0.3</v>
      </c>
      <c r="E22" s="10"/>
      <c r="F22" s="153">
        <f t="shared" ca="1" si="1"/>
        <v>5.33437579870224E-2</v>
      </c>
      <c r="G22" s="151">
        <f t="shared" ca="1" si="0"/>
        <v>3.1624317169189453E-2</v>
      </c>
      <c r="H22" s="83"/>
      <c r="I22" s="195"/>
      <c r="J22" s="195"/>
      <c r="K22" s="83"/>
      <c r="L22" s="149"/>
      <c r="M22" s="10"/>
      <c r="N22" s="10"/>
      <c r="O22" s="10"/>
      <c r="P22" s="10"/>
      <c r="Q22" s="10"/>
      <c r="R22" s="10"/>
    </row>
    <row r="23" spans="1:18" x14ac:dyDescent="0.4">
      <c r="A23" s="146"/>
      <c r="B23" s="83"/>
      <c r="C23" s="151">
        <f t="shared" si="2"/>
        <v>0.95000000000000029</v>
      </c>
      <c r="D23" s="152">
        <v>0.24</v>
      </c>
      <c r="E23" s="10"/>
      <c r="F23" s="153">
        <f t="shared" ca="1" si="1"/>
        <v>4.8446711152791977E-2</v>
      </c>
      <c r="G23" s="151">
        <f t="shared" ca="1" si="0"/>
        <v>3.1385220587253571E-2</v>
      </c>
      <c r="H23" s="83"/>
      <c r="I23" s="195"/>
      <c r="J23" s="195"/>
      <c r="K23" s="83"/>
      <c r="L23" s="149"/>
      <c r="M23" s="10"/>
      <c r="N23" s="10"/>
      <c r="O23" s="10"/>
      <c r="P23" s="10"/>
      <c r="Q23" s="10"/>
      <c r="R23" s="10"/>
    </row>
    <row r="24" spans="1:18" x14ac:dyDescent="0.4">
      <c r="A24" s="146"/>
      <c r="B24" s="83"/>
      <c r="C24" s="151">
        <f t="shared" si="2"/>
        <v>1.0000000000000002</v>
      </c>
      <c r="D24" s="152">
        <v>0</v>
      </c>
      <c r="E24" s="10"/>
      <c r="F24" s="153">
        <f t="shared" ca="1" si="1"/>
        <v>3.1228188425302505E-2</v>
      </c>
      <c r="G24" s="151">
        <f t="shared" ca="1" si="0"/>
        <v>3.1228188425302505E-2</v>
      </c>
      <c r="H24" s="83"/>
      <c r="I24" s="195"/>
      <c r="J24" s="195"/>
      <c r="K24" s="83"/>
      <c r="L24" s="149"/>
      <c r="M24" s="10"/>
      <c r="N24" s="83"/>
      <c r="O24" s="10"/>
      <c r="P24" s="10"/>
      <c r="Q24" s="10"/>
      <c r="R24" s="10"/>
    </row>
    <row r="25" spans="1:18" x14ac:dyDescent="0.4">
      <c r="A25" s="146"/>
      <c r="B25" s="83"/>
      <c r="C25" s="83"/>
      <c r="D25" s="149"/>
      <c r="E25" s="155"/>
      <c r="F25" s="146"/>
      <c r="G25" s="83"/>
      <c r="H25" s="83"/>
      <c r="I25" s="176"/>
      <c r="J25" s="176"/>
      <c r="K25" s="83"/>
      <c r="L25" s="149"/>
      <c r="M25" s="10"/>
      <c r="N25" s="10"/>
      <c r="O25" s="10"/>
      <c r="P25" s="10"/>
      <c r="Q25" s="10"/>
      <c r="R25" s="10"/>
    </row>
    <row r="26" spans="1:18" x14ac:dyDescent="0.4">
      <c r="A26" s="146"/>
      <c r="B26" s="83"/>
      <c r="C26" s="83"/>
      <c r="D26" s="149"/>
      <c r="E26" s="10"/>
      <c r="F26" s="192">
        <f ca="1">2*(SUMPRODUCT($C5:$C23,F5:F23)+F24/2)*0.05</f>
        <v>9.7064429894089699E-2</v>
      </c>
      <c r="G26" s="193">
        <f ca="1">2*(SUMPRODUCT($C5:$C23,G5:G23)+G24/2)*0.05</f>
        <v>5.8118733651936039E-2</v>
      </c>
      <c r="H26" s="83" t="s">
        <v>170</v>
      </c>
      <c r="I26" s="196"/>
      <c r="J26" s="196"/>
      <c r="K26" s="83"/>
      <c r="L26" s="149"/>
      <c r="M26" s="146"/>
      <c r="N26" s="10"/>
      <c r="O26" s="10"/>
      <c r="P26" s="10"/>
      <c r="Q26" s="10"/>
      <c r="R26" s="10"/>
    </row>
    <row r="27" spans="1:18" ht="12.6" thickBot="1" x14ac:dyDescent="0.45">
      <c r="A27" s="156"/>
      <c r="B27" s="157"/>
      <c r="C27" s="157"/>
      <c r="D27" s="158"/>
      <c r="E27" s="10"/>
      <c r="F27" s="198">
        <f>'Input data'!C$20</f>
        <v>0.5</v>
      </c>
      <c r="G27" s="199">
        <f>1-F27</f>
        <v>0.5</v>
      </c>
      <c r="H27" s="83" t="s">
        <v>191</v>
      </c>
      <c r="I27" s="83"/>
      <c r="J27" s="83"/>
      <c r="K27" s="83"/>
      <c r="L27" s="149"/>
      <c r="M27" s="159"/>
      <c r="N27" s="10"/>
      <c r="O27" s="10"/>
      <c r="P27" s="10"/>
      <c r="Q27" s="83"/>
      <c r="R27" s="10"/>
    </row>
    <row r="28" spans="1:18" x14ac:dyDescent="0.4">
      <c r="A28" s="10"/>
      <c r="B28" s="10"/>
      <c r="C28" s="10"/>
      <c r="D28" s="10"/>
      <c r="E28" s="10"/>
      <c r="F28" s="146"/>
      <c r="K28" s="83"/>
      <c r="L28" s="149"/>
      <c r="M28" s="10"/>
      <c r="N28" s="10"/>
      <c r="O28" s="10"/>
      <c r="P28" s="10"/>
      <c r="Q28" s="10"/>
      <c r="R28" s="83"/>
    </row>
    <row r="29" spans="1:18" x14ac:dyDescent="0.4">
      <c r="A29" s="10"/>
      <c r="B29" s="10"/>
      <c r="C29" s="10"/>
      <c r="D29" s="10"/>
      <c r="E29" s="10"/>
      <c r="F29" s="146"/>
      <c r="G29" s="200" t="s">
        <v>55</v>
      </c>
      <c r="H29" s="201">
        <f ca="1">F26*F27+G26*G27</f>
        <v>7.7591581773012869E-2</v>
      </c>
      <c r="I29" s="83"/>
      <c r="J29" s="83"/>
      <c r="K29" s="83"/>
      <c r="L29" s="149"/>
      <c r="M29" s="10"/>
      <c r="N29" s="10"/>
      <c r="O29" s="10"/>
      <c r="P29" s="83"/>
      <c r="Q29" s="10"/>
      <c r="R29" s="10"/>
    </row>
    <row r="30" spans="1:18" ht="12.6" thickBot="1" x14ac:dyDescent="0.45">
      <c r="A30" s="10"/>
      <c r="D30" s="160"/>
      <c r="E30" s="40"/>
      <c r="F30" s="161"/>
      <c r="G30" s="67"/>
      <c r="H30" s="67"/>
      <c r="I30" s="67"/>
      <c r="J30" s="67"/>
      <c r="K30" s="67"/>
      <c r="L30" s="73"/>
      <c r="O30" s="40"/>
    </row>
    <row r="32" spans="1:18" x14ac:dyDescent="0.4">
      <c r="Q32" s="40"/>
    </row>
    <row r="33" spans="1:17" x14ac:dyDescent="0.4">
      <c r="A33" s="6"/>
    </row>
    <row r="34" spans="1:17" ht="12.6" thickBot="1" x14ac:dyDescent="0.45">
      <c r="A34" s="10"/>
    </row>
    <row r="35" spans="1:17" x14ac:dyDescent="0.4">
      <c r="A35" s="10"/>
      <c r="B35" s="58" t="s">
        <v>171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0"/>
    </row>
    <row r="36" spans="1:17" x14ac:dyDescent="0.4">
      <c r="A36" s="10"/>
      <c r="B36" s="61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71"/>
    </row>
    <row r="37" spans="1:17" x14ac:dyDescent="0.4">
      <c r="A37" s="6"/>
      <c r="B37" s="162" t="s">
        <v>172</v>
      </c>
      <c r="C37" s="83"/>
      <c r="D37" s="83"/>
      <c r="E37" s="83"/>
      <c r="F37" s="83"/>
      <c r="G37" s="83"/>
      <c r="H37" s="40"/>
      <c r="I37" s="40"/>
      <c r="J37" s="40"/>
      <c r="K37" s="40"/>
      <c r="L37" s="40"/>
      <c r="M37" s="40"/>
      <c r="N37" s="40"/>
      <c r="O37" s="40"/>
      <c r="P37" s="40"/>
      <c r="Q37" s="71"/>
    </row>
    <row r="38" spans="1:17" x14ac:dyDescent="0.4">
      <c r="B38" s="163" t="str">
        <f>Flightheight!B6</f>
        <v>Gannet</v>
      </c>
      <c r="C38" s="83"/>
      <c r="D38" s="83"/>
      <c r="E38" s="83"/>
      <c r="F38" s="164"/>
      <c r="G38" s="83"/>
      <c r="H38" s="83"/>
      <c r="I38" s="40"/>
      <c r="J38" s="83"/>
      <c r="K38" s="40"/>
      <c r="L38" s="40"/>
      <c r="M38" s="40"/>
      <c r="N38" s="40"/>
      <c r="O38" s="40"/>
      <c r="P38" s="40"/>
      <c r="Q38" s="71"/>
    </row>
    <row r="39" spans="1:17" x14ac:dyDescent="0.4">
      <c r="B39" s="163"/>
      <c r="C39" s="83"/>
      <c r="D39" s="83"/>
      <c r="E39" s="83"/>
      <c r="F39" s="164"/>
      <c r="G39" s="83"/>
      <c r="H39" s="83"/>
      <c r="I39" s="40"/>
      <c r="J39" s="83"/>
      <c r="K39" s="40"/>
      <c r="L39" s="40"/>
      <c r="M39" s="40"/>
      <c r="N39" s="40"/>
      <c r="O39" s="40"/>
      <c r="P39" s="40"/>
      <c r="Q39" s="71"/>
    </row>
    <row r="40" spans="1:17" x14ac:dyDescent="0.4">
      <c r="B40" s="165" t="s">
        <v>173</v>
      </c>
      <c r="C40" s="166" t="s">
        <v>174</v>
      </c>
      <c r="D40" s="154" t="s">
        <v>175</v>
      </c>
      <c r="E40" s="154" t="s">
        <v>176</v>
      </c>
      <c r="F40" s="154" t="s">
        <v>177</v>
      </c>
      <c r="G40" s="154" t="s">
        <v>178</v>
      </c>
      <c r="H40" s="40"/>
      <c r="I40" s="167" t="s">
        <v>179</v>
      </c>
      <c r="J40" s="167" t="s">
        <v>180</v>
      </c>
      <c r="K40" s="40"/>
      <c r="M40" s="167"/>
      <c r="N40" s="167"/>
      <c r="O40" s="168"/>
      <c r="P40" s="40"/>
      <c r="Q40" s="71"/>
    </row>
    <row r="41" spans="1:17" x14ac:dyDescent="0.4">
      <c r="B41" s="169">
        <v>-1</v>
      </c>
      <c r="C41" s="170">
        <f t="shared" ref="C41:C81" ca="1" si="3">interpolate(Npoints,"flightheightdata",hubheight+B41*radius+offset)*radius</f>
        <v>0.48414999153465033</v>
      </c>
      <c r="D41" s="154">
        <f ca="1">xrisksum2(B41,I$41,"up")</f>
        <v>0</v>
      </c>
      <c r="E41" s="154">
        <f ca="1">xrisksum2(B41,I$41,"down")</f>
        <v>0</v>
      </c>
      <c r="F41" s="208">
        <f ca="1">C41*D41</f>
        <v>0</v>
      </c>
      <c r="G41" s="208">
        <f ca="1">C41*E41</f>
        <v>0</v>
      </c>
      <c r="H41" s="171"/>
      <c r="I41" s="172">
        <v>0.05</v>
      </c>
      <c r="J41" s="172">
        <v>0.05</v>
      </c>
      <c r="K41" s="40"/>
      <c r="L41" s="177" t="s">
        <v>196</v>
      </c>
      <c r="O41" s="174"/>
      <c r="P41" s="40"/>
      <c r="Q41" s="71"/>
    </row>
    <row r="42" spans="1:17" x14ac:dyDescent="0.4">
      <c r="B42" s="169">
        <f t="shared" ref="B42:B81" si="4">B41+0.05</f>
        <v>-0.95</v>
      </c>
      <c r="C42" s="170">
        <f t="shared" ca="1" si="3"/>
        <v>0.33853125059977174</v>
      </c>
      <c r="D42" s="154">
        <f ca="1">xrisksum2(B42,I$41,"up")</f>
        <v>2.6554662734270096E-2</v>
      </c>
      <c r="E42" s="154">
        <f t="shared" ref="E42:E81" ca="1" si="5">xrisksum2(B42,I$41,"down")</f>
        <v>1.9602416083216667E-2</v>
      </c>
      <c r="F42" s="208">
        <f t="shared" ref="F42:F81" ca="1" si="6">C42*D42</f>
        <v>8.9895831846876096E-3</v>
      </c>
      <c r="G42" s="208">
        <f t="shared" ref="G42:G81" ca="1" si="7">C42*E42</f>
        <v>6.6360304314284175E-3</v>
      </c>
      <c r="H42" s="171"/>
      <c r="I42" s="175"/>
      <c r="J42" s="176"/>
      <c r="K42" s="49"/>
      <c r="L42" s="177" t="s">
        <v>197</v>
      </c>
      <c r="M42" s="178"/>
      <c r="N42" s="178"/>
      <c r="O42" s="40"/>
      <c r="P42" s="40"/>
      <c r="Q42" s="71"/>
    </row>
    <row r="43" spans="1:17" x14ac:dyDescent="0.4">
      <c r="B43" s="169">
        <f t="shared" si="4"/>
        <v>-0.89999999999999991</v>
      </c>
      <c r="C43" s="170">
        <f t="shared" ca="1" si="3"/>
        <v>0.21346874884329736</v>
      </c>
      <c r="D43" s="154">
        <f ca="1">xrisksum2(B43,I$41,"up")</f>
        <v>4.1984621435403824E-2</v>
      </c>
      <c r="E43" s="154">
        <f t="shared" ca="1" si="5"/>
        <v>2.7396438643336296E-2</v>
      </c>
      <c r="F43" s="208">
        <f t="shared" ca="1" si="6"/>
        <v>8.9624046084751385E-3</v>
      </c>
      <c r="G43" s="208">
        <f t="shared" ca="1" si="7"/>
        <v>5.8482834799551617E-3</v>
      </c>
      <c r="H43" s="171"/>
      <c r="I43" s="213"/>
      <c r="J43" s="176"/>
      <c r="K43" s="176"/>
      <c r="L43" s="177"/>
      <c r="M43" s="195"/>
      <c r="N43" s="195"/>
      <c r="O43" s="40"/>
      <c r="P43" s="40"/>
      <c r="Q43" s="71"/>
    </row>
    <row r="44" spans="1:17" x14ac:dyDescent="0.4">
      <c r="B44" s="169">
        <f t="shared" si="4"/>
        <v>-0.84999999999999987</v>
      </c>
      <c r="C44" s="170">
        <f t="shared" ca="1" si="3"/>
        <v>0.12477499956730753</v>
      </c>
      <c r="D44" s="154">
        <f t="shared" ref="D44:D81" ca="1" si="8">xrisksum2(B44,I$41,"up")</f>
        <v>5.5092282593250275E-2</v>
      </c>
      <c r="E44" s="154">
        <f t="shared" ca="1" si="5"/>
        <v>3.3547449856996536E-2</v>
      </c>
      <c r="F44" s="208">
        <f t="shared" ca="1" si="6"/>
        <v>6.8741395367347873E-3</v>
      </c>
      <c r="G44" s="208">
        <f t="shared" ca="1" si="7"/>
        <v>4.1858830413910135E-3</v>
      </c>
      <c r="H44" s="171"/>
      <c r="I44" s="40"/>
      <c r="J44" s="171"/>
      <c r="K44" s="40"/>
      <c r="L44" s="40"/>
      <c r="M44" s="203"/>
      <c r="N44" s="203"/>
      <c r="O44" s="40"/>
      <c r="P44" s="40"/>
      <c r="Q44" s="71"/>
    </row>
    <row r="45" spans="1:17" ht="12.9" x14ac:dyDescent="0.5">
      <c r="B45" s="169">
        <f t="shared" si="4"/>
        <v>-0.79999999999999982</v>
      </c>
      <c r="C45" s="170">
        <f t="shared" ca="1" si="3"/>
        <v>7.0725003024563193E-2</v>
      </c>
      <c r="D45" s="154">
        <f t="shared" ca="1" si="8"/>
        <v>6.6827505826950073E-2</v>
      </c>
      <c r="E45" s="154">
        <f t="shared" ca="1" si="5"/>
        <v>3.8919501006603241E-2</v>
      </c>
      <c r="F45" s="208">
        <f t="shared" ca="1" si="6"/>
        <v>4.7263755517350584E-3</v>
      </c>
      <c r="G45" s="208">
        <f t="shared" ca="1" si="7"/>
        <v>2.7525818264065045E-3</v>
      </c>
      <c r="H45" s="171"/>
      <c r="I45" s="191" t="s">
        <v>208</v>
      </c>
      <c r="J45" s="40"/>
      <c r="K45" s="40"/>
      <c r="L45" s="217"/>
      <c r="M45" s="220">
        <f ca="1">0.05*(C41/2+C81/2+SUM(C42:C80))</f>
        <v>5.6766874915183507E-2</v>
      </c>
      <c r="O45" s="40"/>
      <c r="P45" s="40"/>
      <c r="Q45" s="71"/>
    </row>
    <row r="46" spans="1:17" ht="12.9" x14ac:dyDescent="0.5">
      <c r="B46" s="169">
        <f t="shared" si="4"/>
        <v>-0.74999999999999978</v>
      </c>
      <c r="C46" s="170">
        <f t="shared" ca="1" si="3"/>
        <v>3.6440624680835754E-2</v>
      </c>
      <c r="D46" s="154">
        <f t="shared" ca="1" si="8"/>
        <v>7.8280352056026459E-2</v>
      </c>
      <c r="E46" s="154">
        <f t="shared" ca="1" si="5"/>
        <v>4.3951552361249924E-2</v>
      </c>
      <c r="F46" s="208">
        <f t="shared" ca="1" si="6"/>
        <v>2.8525849291573496E-3</v>
      </c>
      <c r="G46" s="208">
        <f t="shared" ca="1" si="7"/>
        <v>1.6016220237364089E-3</v>
      </c>
      <c r="H46" s="171"/>
      <c r="I46" s="10" t="s">
        <v>193</v>
      </c>
      <c r="J46" s="40"/>
      <c r="K46" s="40"/>
      <c r="L46" s="187"/>
      <c r="M46" s="187">
        <f>'Input data'!C19</f>
        <v>8.2799999999999999E-2</v>
      </c>
      <c r="O46" s="40"/>
      <c r="P46" s="40"/>
      <c r="Q46" s="71"/>
    </row>
    <row r="47" spans="1:17" x14ac:dyDescent="0.4">
      <c r="B47" s="169">
        <f t="shared" si="4"/>
        <v>-0.69999999999999973</v>
      </c>
      <c r="C47" s="170">
        <f t="shared" ca="1" si="3"/>
        <v>1.7393750240444206E-2</v>
      </c>
      <c r="D47" s="154">
        <f t="shared" ca="1" si="8"/>
        <v>8.9591465890407562E-2</v>
      </c>
      <c r="E47" s="154">
        <f t="shared" ca="1" si="5"/>
        <v>4.8888605087995529E-2</v>
      </c>
      <c r="F47" s="208">
        <f t="shared" ca="1" si="6"/>
        <v>1.5583315813730253E-3</v>
      </c>
      <c r="G47" s="208">
        <f t="shared" ca="1" si="7"/>
        <v>8.50356186504304E-4</v>
      </c>
      <c r="H47" s="171"/>
      <c r="I47" s="11" t="s">
        <v>200</v>
      </c>
      <c r="L47" s="214"/>
      <c r="M47" s="215">
        <f ca="1">(2/PI())*ydistsum(I41,J41,"",1)</f>
        <v>2.7188995690499766E-2</v>
      </c>
      <c r="N47" s="83"/>
      <c r="O47" s="214"/>
      <c r="P47" s="40"/>
      <c r="Q47" s="71"/>
    </row>
    <row r="48" spans="1:17" x14ac:dyDescent="0.4">
      <c r="B48" s="169">
        <f t="shared" si="4"/>
        <v>-0.64999999999999969</v>
      </c>
      <c r="C48" s="170">
        <f t="shared" ca="1" si="3"/>
        <v>7.8343752466025762E-3</v>
      </c>
      <c r="D48" s="154">
        <f t="shared" ca="1" si="8"/>
        <v>0.10113465785980225</v>
      </c>
      <c r="E48" s="154">
        <f t="shared" ca="1" si="5"/>
        <v>5.3945157676935196E-2</v>
      </c>
      <c r="F48" s="208">
        <f t="shared" ca="1" si="6"/>
        <v>7.923268601104554E-4</v>
      </c>
      <c r="G48" s="208">
        <f t="shared" ca="1" si="7"/>
        <v>4.2262660797825406E-4</v>
      </c>
      <c r="H48" s="171"/>
      <c r="I48" s="180"/>
      <c r="J48" s="40"/>
      <c r="K48" s="40"/>
      <c r="P48" s="40"/>
      <c r="Q48" s="71"/>
    </row>
    <row r="49" spans="2:18" x14ac:dyDescent="0.4">
      <c r="B49" s="169">
        <f t="shared" si="4"/>
        <v>-0.59999999999999964</v>
      </c>
      <c r="C49" s="170">
        <f t="shared" ca="1" si="3"/>
        <v>4.0250001075037289E-3</v>
      </c>
      <c r="D49" s="154">
        <f t="shared" ca="1" si="8"/>
        <v>0.11301622539758682</v>
      </c>
      <c r="E49" s="154">
        <f t="shared" ca="1" si="5"/>
        <v>5.9303048998117447E-2</v>
      </c>
      <c r="F49" s="208">
        <f t="shared" ca="1" si="6"/>
        <v>4.5489031937495259E-4</v>
      </c>
      <c r="G49" s="208">
        <f t="shared" ca="1" si="7"/>
        <v>2.3869477859272162E-4</v>
      </c>
      <c r="H49" s="171"/>
      <c r="I49" s="175" t="s">
        <v>159</v>
      </c>
      <c r="J49" s="82"/>
      <c r="K49" s="204" t="s">
        <v>195</v>
      </c>
      <c r="L49" s="207">
        <f ca="1">(2/PI())*ydistsum(I41,J41,"up",0)</f>
        <v>1.6089967637698136E-3</v>
      </c>
      <c r="M49" s="204" t="s">
        <v>194</v>
      </c>
      <c r="N49" s="207">
        <f ca="1">(2/PI())*ydistsum(I41,J41,"down",0)</f>
        <v>9.9558263262674771E-4</v>
      </c>
      <c r="P49" s="182"/>
      <c r="Q49" s="183"/>
      <c r="R49" s="233"/>
    </row>
    <row r="50" spans="2:18" x14ac:dyDescent="0.4">
      <c r="B50" s="169">
        <f t="shared" si="4"/>
        <v>-0.5499999999999996</v>
      </c>
      <c r="C50" s="170">
        <f t="shared" ca="1" si="3"/>
        <v>1.7968750853469828E-3</v>
      </c>
      <c r="D50" s="154">
        <f t="shared" ca="1" si="8"/>
        <v>0.12533590197563171</v>
      </c>
      <c r="E50" s="154">
        <f t="shared" ca="1" si="5"/>
        <v>6.5125346183776855E-2</v>
      </c>
      <c r="F50" s="208">
        <f t="shared" ca="1" si="6"/>
        <v>2.2521295955950431E-4</v>
      </c>
      <c r="G50" s="208">
        <f t="shared" ca="1" si="7"/>
        <v>1.1702211198222584E-4</v>
      </c>
      <c r="H50" s="171"/>
      <c r="I50" s="83" t="s">
        <v>191</v>
      </c>
      <c r="J50" s="82"/>
      <c r="K50" s="174"/>
      <c r="L50" s="187">
        <f>'Input data'!C20</f>
        <v>0.5</v>
      </c>
      <c r="N50" s="202">
        <f>1-L50</f>
        <v>0.5</v>
      </c>
      <c r="P50" s="182"/>
      <c r="Q50" s="71"/>
    </row>
    <row r="51" spans="2:18" x14ac:dyDescent="0.4">
      <c r="B51" s="169">
        <f t="shared" si="4"/>
        <v>-0.49999999999999961</v>
      </c>
      <c r="C51" s="170">
        <f t="shared" ca="1" si="3"/>
        <v>1.1499999709485564E-3</v>
      </c>
      <c r="D51" s="154">
        <f t="shared" ca="1" si="8"/>
        <v>0.1379811018705368</v>
      </c>
      <c r="E51" s="154">
        <f t="shared" ca="1" si="5"/>
        <v>7.1515820920467377E-2</v>
      </c>
      <c r="F51" s="208">
        <f t="shared" ca="1" si="6"/>
        <v>1.5867826314256713E-4</v>
      </c>
      <c r="G51" s="208">
        <f t="shared" ca="1" si="7"/>
        <v>8.2243191980899648E-5</v>
      </c>
      <c r="H51" s="171"/>
      <c r="I51" s="175" t="s">
        <v>192</v>
      </c>
      <c r="J51" s="171"/>
      <c r="K51" s="174"/>
      <c r="M51" s="234">
        <f ca="1">L49*L50+N49*N50</f>
        <v>1.3022896981982808E-3</v>
      </c>
      <c r="N51" s="181"/>
      <c r="O51" s="40"/>
      <c r="P51" s="40"/>
      <c r="Q51" s="71"/>
    </row>
    <row r="52" spans="2:18" x14ac:dyDescent="0.4">
      <c r="B52" s="169">
        <f t="shared" si="4"/>
        <v>-0.44999999999999962</v>
      </c>
      <c r="C52" s="170">
        <f t="shared" ca="1" si="3"/>
        <v>5.7499998547427822E-4</v>
      </c>
      <c r="D52" s="154">
        <f t="shared" ca="1" si="8"/>
        <v>0.15102468430995941</v>
      </c>
      <c r="E52" s="154">
        <f t="shared" ca="1" si="5"/>
        <v>7.8692197799682617E-2</v>
      </c>
      <c r="F52" s="208">
        <f t="shared" ca="1" si="6"/>
        <v>8.6839191284484115E-5</v>
      </c>
      <c r="G52" s="208">
        <f t="shared" ca="1" si="7"/>
        <v>4.5248012591756533E-5</v>
      </c>
      <c r="H52" s="171"/>
      <c r="I52" s="40"/>
      <c r="J52" s="171"/>
      <c r="K52" s="83"/>
      <c r="L52" s="214"/>
      <c r="M52" s="171"/>
      <c r="N52" s="214"/>
      <c r="O52" s="40"/>
      <c r="P52" s="40"/>
      <c r="Q52" s="71"/>
    </row>
    <row r="53" spans="2:18" x14ac:dyDescent="0.4">
      <c r="B53" s="169">
        <f t="shared" si="4"/>
        <v>-0.39999999999999963</v>
      </c>
      <c r="C53" s="170">
        <f t="shared" ca="1" si="3"/>
        <v>5.7499998547427822E-4</v>
      </c>
      <c r="D53" s="154">
        <f t="shared" ca="1" si="8"/>
        <v>0.16562047600746155</v>
      </c>
      <c r="E53" s="154">
        <f t="shared" ca="1" si="5"/>
        <v>8.76573845744133E-2</v>
      </c>
      <c r="F53" s="208">
        <f t="shared" ca="1" si="6"/>
        <v>9.5231771298533434E-5</v>
      </c>
      <c r="G53" s="208">
        <f t="shared" ca="1" si="7"/>
        <v>5.0402994857000867E-5</v>
      </c>
      <c r="H53" s="171"/>
      <c r="I53" s="40"/>
      <c r="J53" s="171"/>
      <c r="K53" s="83"/>
      <c r="L53" s="83"/>
      <c r="M53" s="83"/>
      <c r="N53" s="40"/>
      <c r="O53" s="40"/>
      <c r="P53" s="40"/>
      <c r="Q53" s="71"/>
    </row>
    <row r="54" spans="2:18" ht="12.9" x14ac:dyDescent="0.5">
      <c r="B54" s="169">
        <f t="shared" si="4"/>
        <v>-0.34999999999999964</v>
      </c>
      <c r="C54" s="170">
        <f t="shared" ca="1" si="3"/>
        <v>0</v>
      </c>
      <c r="D54" s="154">
        <f t="shared" ca="1" si="8"/>
        <v>0.18246252834796906</v>
      </c>
      <c r="E54" s="154">
        <f t="shared" ca="1" si="5"/>
        <v>9.8898351192474365E-2</v>
      </c>
      <c r="F54" s="208">
        <f t="shared" ca="1" si="6"/>
        <v>0</v>
      </c>
      <c r="G54" s="208">
        <f t="shared" ca="1" si="7"/>
        <v>0</v>
      </c>
      <c r="H54" s="171"/>
      <c r="I54" s="174" t="s">
        <v>199</v>
      </c>
      <c r="J54" s="40"/>
      <c r="K54" s="83"/>
      <c r="L54" s="173">
        <f ca="1">M45*bandup</f>
        <v>5.5100443505113885E-3</v>
      </c>
      <c r="M54" s="83"/>
      <c r="N54" s="173">
        <f ca="1">M45*banddown</f>
        <v>3.2992188834483193E-3</v>
      </c>
      <c r="O54" s="40"/>
      <c r="P54" s="40"/>
      <c r="Q54" s="71"/>
    </row>
    <row r="55" spans="2:18" x14ac:dyDescent="0.4">
      <c r="B55" s="169">
        <f t="shared" si="4"/>
        <v>-0.29999999999999966</v>
      </c>
      <c r="C55" s="170">
        <f t="shared" ca="1" si="3"/>
        <v>0</v>
      </c>
      <c r="D55" s="154">
        <f t="shared" ca="1" si="8"/>
        <v>0.20173265039920807</v>
      </c>
      <c r="E55" s="154">
        <f t="shared" ca="1" si="5"/>
        <v>0.11266974359750748</v>
      </c>
      <c r="F55" s="208">
        <f t="shared" ca="1" si="6"/>
        <v>0</v>
      </c>
      <c r="G55" s="208">
        <f t="shared" ca="1" si="7"/>
        <v>0</v>
      </c>
      <c r="H55" s="171"/>
      <c r="K55" s="83"/>
      <c r="L55" s="179">
        <f ca="1">L49/L54</f>
        <v>0.29201158128980981</v>
      </c>
      <c r="M55" s="40"/>
      <c r="N55" s="179">
        <f ca="1">N49/N54</f>
        <v>0.30176313478970274</v>
      </c>
      <c r="O55" s="40"/>
      <c r="P55" s="40"/>
      <c r="Q55" s="71"/>
    </row>
    <row r="56" spans="2:18" x14ac:dyDescent="0.4">
      <c r="B56" s="169">
        <f t="shared" si="4"/>
        <v>-0.24999999999999967</v>
      </c>
      <c r="C56" s="170">
        <f t="shared" ca="1" si="3"/>
        <v>0</v>
      </c>
      <c r="D56" s="154">
        <f t="shared" ca="1" si="8"/>
        <v>0.22205480933189392</v>
      </c>
      <c r="E56" s="154">
        <f t="shared" ca="1" si="5"/>
        <v>0.12880250811576843</v>
      </c>
      <c r="F56" s="208">
        <f t="shared" ca="1" si="6"/>
        <v>0</v>
      </c>
      <c r="G56" s="208">
        <f t="shared" ca="1" si="7"/>
        <v>0</v>
      </c>
      <c r="H56" s="171"/>
      <c r="K56" s="83"/>
      <c r="L56" s="40"/>
      <c r="M56" s="40"/>
      <c r="N56" s="40"/>
      <c r="O56" s="40"/>
      <c r="P56" s="40"/>
      <c r="Q56" s="71"/>
    </row>
    <row r="57" spans="2:18" x14ac:dyDescent="0.4">
      <c r="B57" s="169">
        <f t="shared" si="4"/>
        <v>-0.19999999999999968</v>
      </c>
      <c r="C57" s="170">
        <f t="shared" ca="1" si="3"/>
        <v>0</v>
      </c>
      <c r="D57" s="154">
        <f t="shared" ca="1" si="8"/>
        <v>0.24274387955665588</v>
      </c>
      <c r="E57" s="154">
        <f t="shared" ca="1" si="5"/>
        <v>0.14694321155548096</v>
      </c>
      <c r="F57" s="208">
        <f t="shared" ca="1" si="6"/>
        <v>0</v>
      </c>
      <c r="G57" s="208">
        <f t="shared" ca="1" si="7"/>
        <v>0</v>
      </c>
      <c r="H57" s="171"/>
      <c r="I57" s="40"/>
      <c r="J57" s="171"/>
      <c r="K57" s="83"/>
      <c r="L57" s="40"/>
      <c r="M57" s="40"/>
      <c r="N57" s="40"/>
      <c r="O57" s="40"/>
      <c r="P57" s="40"/>
      <c r="Q57" s="71"/>
    </row>
    <row r="58" spans="2:18" x14ac:dyDescent="0.4">
      <c r="B58" s="169">
        <f t="shared" si="4"/>
        <v>-0.14999999999999969</v>
      </c>
      <c r="C58" s="170">
        <f t="shared" ca="1" si="3"/>
        <v>0</v>
      </c>
      <c r="D58" s="154">
        <f t="shared" ca="1" si="8"/>
        <v>0.26406961679458618</v>
      </c>
      <c r="E58" s="154">
        <f t="shared" ca="1" si="5"/>
        <v>0.16735810041427612</v>
      </c>
      <c r="F58" s="208">
        <f t="shared" ca="1" si="6"/>
        <v>0</v>
      </c>
      <c r="G58" s="208">
        <f t="shared" ca="1" si="7"/>
        <v>0</v>
      </c>
      <c r="H58" s="171"/>
      <c r="I58" s="40"/>
      <c r="J58" s="171"/>
      <c r="K58" s="40"/>
      <c r="L58" s="40"/>
      <c r="M58" s="40"/>
      <c r="N58" s="40"/>
      <c r="O58" s="40"/>
      <c r="P58" s="40"/>
      <c r="Q58" s="71"/>
    </row>
    <row r="59" spans="2:18" x14ac:dyDescent="0.4">
      <c r="B59" s="169">
        <f t="shared" si="4"/>
        <v>-9.9999999999999686E-2</v>
      </c>
      <c r="C59" s="170">
        <f t="shared" ca="1" si="3"/>
        <v>0</v>
      </c>
      <c r="D59" s="154">
        <f t="shared" ca="1" si="8"/>
        <v>0.28885355591773987</v>
      </c>
      <c r="E59" s="154">
        <f t="shared" ca="1" si="5"/>
        <v>0.19240063428878784</v>
      </c>
      <c r="F59" s="208">
        <f t="shared" ca="1" si="6"/>
        <v>0</v>
      </c>
      <c r="G59" s="208">
        <f t="shared" ca="1" si="7"/>
        <v>0</v>
      </c>
      <c r="H59" s="171"/>
      <c r="I59" s="40"/>
      <c r="J59" s="171"/>
      <c r="K59" s="83"/>
      <c r="L59" s="40"/>
      <c r="M59" s="40"/>
      <c r="N59" s="40"/>
      <c r="O59" s="40"/>
      <c r="P59" s="40"/>
      <c r="Q59" s="71"/>
    </row>
    <row r="60" spans="2:18" x14ac:dyDescent="0.4">
      <c r="B60" s="169">
        <f t="shared" si="4"/>
        <v>-4.9999999999999684E-2</v>
      </c>
      <c r="C60" s="170">
        <f t="shared" ca="1" si="3"/>
        <v>5.7499998547427822E-4</v>
      </c>
      <c r="D60" s="154">
        <f t="shared" ca="1" si="8"/>
        <v>0.32836383581161499</v>
      </c>
      <c r="E60" s="154">
        <f t="shared" ca="1" si="5"/>
        <v>0.23230086266994476</v>
      </c>
      <c r="F60" s="208">
        <f t="shared" ca="1" si="6"/>
        <v>1.888092008219569E-4</v>
      </c>
      <c r="G60" s="208">
        <f t="shared" ca="1" si="7"/>
        <v>1.3357299266088054E-4</v>
      </c>
      <c r="H60" s="171"/>
      <c r="I60" s="40"/>
      <c r="J60" s="171"/>
      <c r="K60" s="40"/>
      <c r="L60" s="40"/>
      <c r="M60" s="40"/>
      <c r="N60" s="40"/>
      <c r="O60" s="40"/>
      <c r="P60" s="40"/>
      <c r="Q60" s="71"/>
    </row>
    <row r="61" spans="2:18" x14ac:dyDescent="0.4">
      <c r="B61" s="169">
        <f t="shared" si="4"/>
        <v>3.1918911957973251E-16</v>
      </c>
      <c r="C61" s="170">
        <f t="shared" ca="1" si="3"/>
        <v>5.7499998547427822E-4</v>
      </c>
      <c r="D61" s="154">
        <f t="shared" ca="1" si="8"/>
        <v>0.34192520380020142</v>
      </c>
      <c r="E61" s="154">
        <f t="shared" ca="1" si="5"/>
        <v>0.2486354261636734</v>
      </c>
      <c r="F61" s="208">
        <f t="shared" ca="1" si="6"/>
        <v>1.9660698721840543E-4</v>
      </c>
      <c r="G61" s="208">
        <f t="shared" ca="1" si="7"/>
        <v>1.4296536643250318E-4</v>
      </c>
      <c r="H61" s="171"/>
      <c r="I61" s="40"/>
      <c r="J61" s="171"/>
      <c r="K61" s="40"/>
      <c r="L61" s="40"/>
      <c r="M61" s="40"/>
      <c r="N61" s="40"/>
      <c r="O61" s="40"/>
      <c r="P61" s="40"/>
      <c r="Q61" s="71"/>
    </row>
    <row r="62" spans="2:18" x14ac:dyDescent="0.4">
      <c r="B62" s="169">
        <f t="shared" si="4"/>
        <v>5.0000000000000322E-2</v>
      </c>
      <c r="C62" s="170">
        <f t="shared" ca="1" si="3"/>
        <v>1.3656250439453288E-3</v>
      </c>
      <c r="D62" s="154">
        <f t="shared" ca="1" si="8"/>
        <v>0.32836383581161499</v>
      </c>
      <c r="E62" s="154">
        <f t="shared" ca="1" si="5"/>
        <v>0.23230086266994476</v>
      </c>
      <c r="F62" s="208">
        <f t="shared" ca="1" si="6"/>
        <v>4.4842187771029345E-4</v>
      </c>
      <c r="G62" s="208">
        <f t="shared" ca="1" si="7"/>
        <v>3.1723587579218109E-4</v>
      </c>
      <c r="H62" s="171"/>
      <c r="I62" s="40"/>
      <c r="J62" s="171"/>
      <c r="K62" s="40"/>
      <c r="L62" s="40"/>
      <c r="M62" s="40"/>
      <c r="N62" s="40"/>
      <c r="O62" s="40"/>
      <c r="P62" s="40"/>
      <c r="Q62" s="71"/>
    </row>
    <row r="63" spans="2:18" x14ac:dyDescent="0.4">
      <c r="B63" s="169">
        <f t="shared" si="4"/>
        <v>0.10000000000000032</v>
      </c>
      <c r="C63" s="170">
        <f t="shared" ca="1" si="3"/>
        <v>2.2999999418971129E-3</v>
      </c>
      <c r="D63" s="154">
        <f t="shared" ca="1" si="8"/>
        <v>0.28885355591773987</v>
      </c>
      <c r="E63" s="154">
        <f t="shared" ca="1" si="5"/>
        <v>0.19240063428878784</v>
      </c>
      <c r="F63" s="208">
        <f t="shared" ca="1" si="6"/>
        <v>6.6436316182757614E-4</v>
      </c>
      <c r="G63" s="208">
        <f t="shared" ca="1" si="7"/>
        <v>4.425214476851797E-4</v>
      </c>
      <c r="H63" s="171"/>
      <c r="I63" s="40"/>
      <c r="J63" s="171"/>
      <c r="K63" s="40"/>
      <c r="L63" s="40"/>
      <c r="M63" s="40"/>
      <c r="N63" s="40"/>
      <c r="O63" s="40"/>
      <c r="P63" s="40"/>
      <c r="Q63" s="71"/>
    </row>
    <row r="64" spans="2:18" x14ac:dyDescent="0.4">
      <c r="B64" s="169">
        <f t="shared" si="4"/>
        <v>0.15000000000000033</v>
      </c>
      <c r="C64" s="170">
        <f t="shared" ca="1" si="3"/>
        <v>3.5218750417698175E-3</v>
      </c>
      <c r="D64" s="154">
        <f t="shared" ca="1" si="8"/>
        <v>0.26406961679458618</v>
      </c>
      <c r="E64" s="154">
        <f t="shared" ca="1" si="5"/>
        <v>0.16735810041427612</v>
      </c>
      <c r="F64" s="208">
        <f t="shared" ca="1" si="6"/>
        <v>9.300201926785729E-4</v>
      </c>
      <c r="G64" s="208">
        <f t="shared" ca="1" si="7"/>
        <v>5.8941431688704603E-4</v>
      </c>
      <c r="H64" s="171"/>
      <c r="I64" s="151"/>
      <c r="J64" s="171"/>
      <c r="K64" s="40"/>
      <c r="L64" s="40"/>
      <c r="M64" s="40"/>
      <c r="N64" s="40"/>
      <c r="O64" s="40"/>
      <c r="P64" s="40"/>
      <c r="Q64" s="71"/>
    </row>
    <row r="65" spans="2:17" x14ac:dyDescent="0.4">
      <c r="B65" s="169">
        <f t="shared" si="4"/>
        <v>0.20000000000000034</v>
      </c>
      <c r="C65" s="170">
        <f t="shared" ca="1" si="3"/>
        <v>5.7499998547427822E-3</v>
      </c>
      <c r="D65" s="154">
        <f t="shared" ca="1" si="8"/>
        <v>0.24274387955665588</v>
      </c>
      <c r="E65" s="154">
        <f t="shared" ca="1" si="5"/>
        <v>0.14694321155548096</v>
      </c>
      <c r="F65" s="208">
        <f t="shared" ca="1" si="6"/>
        <v>1.3957772721904706E-3</v>
      </c>
      <c r="G65" s="208">
        <f t="shared" ca="1" si="7"/>
        <v>8.4492344509945342E-4</v>
      </c>
      <c r="H65" s="171"/>
      <c r="I65" s="83"/>
      <c r="J65" s="171"/>
      <c r="K65" s="40"/>
      <c r="L65" s="40"/>
      <c r="M65" s="40"/>
      <c r="N65" s="40"/>
      <c r="O65" s="40"/>
      <c r="P65" s="40"/>
      <c r="Q65" s="71"/>
    </row>
    <row r="66" spans="2:17" x14ac:dyDescent="0.4">
      <c r="B66" s="169">
        <f t="shared" si="4"/>
        <v>0.25000000000000033</v>
      </c>
      <c r="C66" s="170">
        <f t="shared" ca="1" si="3"/>
        <v>9.0562503464752808E-3</v>
      </c>
      <c r="D66" s="154">
        <f t="shared" ca="1" si="8"/>
        <v>0.22205480933189392</v>
      </c>
      <c r="E66" s="154">
        <f t="shared" ca="1" si="5"/>
        <v>0.12880250811576843</v>
      </c>
      <c r="F66" s="208">
        <f t="shared" ca="1" si="6"/>
        <v>2.0109839439484667E-3</v>
      </c>
      <c r="G66" s="208">
        <f t="shared" ca="1" si="7"/>
        <v>1.166467758750313E-3</v>
      </c>
      <c r="H66" s="171"/>
      <c r="I66" s="151"/>
      <c r="J66" s="171"/>
      <c r="K66" s="40"/>
      <c r="L66" s="40"/>
      <c r="M66" s="40"/>
      <c r="N66" s="40"/>
      <c r="O66" s="40"/>
      <c r="P66" s="40"/>
      <c r="Q66" s="71"/>
    </row>
    <row r="67" spans="2:17" x14ac:dyDescent="0.4">
      <c r="B67" s="169">
        <f t="shared" si="4"/>
        <v>0.30000000000000032</v>
      </c>
      <c r="C67" s="170">
        <f t="shared" ca="1" si="3"/>
        <v>1.1931249646295328E-2</v>
      </c>
      <c r="D67" s="154">
        <f t="shared" ca="1" si="8"/>
        <v>0.20173265039920807</v>
      </c>
      <c r="E67" s="154">
        <f t="shared" ca="1" si="5"/>
        <v>0.11266974359750748</v>
      </c>
      <c r="F67" s="208">
        <f t="shared" ca="1" si="6"/>
        <v>2.4069226137217702E-3</v>
      </c>
      <c r="G67" s="208">
        <f t="shared" ca="1" si="7"/>
        <v>1.3442908384459463E-3</v>
      </c>
      <c r="H67" s="171"/>
      <c r="I67" s="151"/>
      <c r="J67" s="171"/>
      <c r="K67" s="40"/>
      <c r="L67" s="40"/>
      <c r="M67" s="40"/>
      <c r="N67" s="40"/>
      <c r="O67" s="40"/>
      <c r="P67" s="40"/>
      <c r="Q67" s="71"/>
    </row>
    <row r="68" spans="2:17" x14ac:dyDescent="0.4">
      <c r="B68" s="169">
        <f t="shared" si="4"/>
        <v>0.35000000000000031</v>
      </c>
      <c r="C68" s="170">
        <f t="shared" ca="1" si="3"/>
        <v>1.2650000098801684E-2</v>
      </c>
      <c r="D68" s="154">
        <f t="shared" ca="1" si="8"/>
        <v>0.18246252834796906</v>
      </c>
      <c r="E68" s="154">
        <f t="shared" ca="1" si="5"/>
        <v>9.8898343741893768E-2</v>
      </c>
      <c r="F68" s="208">
        <f t="shared" ca="1" si="6"/>
        <v>2.3081510016294137E-3</v>
      </c>
      <c r="G68" s="208">
        <f t="shared" ca="1" si="7"/>
        <v>1.251064058106279E-3</v>
      </c>
      <c r="H68" s="171"/>
      <c r="I68" s="40"/>
      <c r="J68" s="171"/>
      <c r="K68" s="40"/>
      <c r="L68" s="40"/>
      <c r="M68" s="40"/>
      <c r="N68" s="40"/>
      <c r="O68" s="40"/>
      <c r="P68" s="40"/>
      <c r="Q68" s="71"/>
    </row>
    <row r="69" spans="2:17" x14ac:dyDescent="0.4">
      <c r="B69" s="169">
        <f t="shared" si="4"/>
        <v>0.4000000000000003</v>
      </c>
      <c r="C69" s="170">
        <f t="shared" ca="1" si="3"/>
        <v>1.1212500030524097E-2</v>
      </c>
      <c r="D69" s="154">
        <f t="shared" ca="1" si="8"/>
        <v>0.16562047600746155</v>
      </c>
      <c r="E69" s="154">
        <f t="shared" ca="1" si="5"/>
        <v>8.76573845744133E-2</v>
      </c>
      <c r="F69" s="208">
        <f t="shared" ca="1" si="6"/>
        <v>1.8570195922890781E-3</v>
      </c>
      <c r="G69" s="208">
        <f t="shared" ca="1" si="7"/>
        <v>9.8285842721627156E-4</v>
      </c>
      <c r="H69" s="171"/>
      <c r="I69" s="40"/>
      <c r="J69" s="171"/>
      <c r="K69" s="40"/>
      <c r="L69" s="40"/>
      <c r="M69" s="40"/>
      <c r="N69" s="40"/>
      <c r="O69" s="40"/>
      <c r="P69" s="40"/>
      <c r="Q69" s="71"/>
    </row>
    <row r="70" spans="2:17" x14ac:dyDescent="0.4">
      <c r="B70" s="169">
        <f t="shared" si="4"/>
        <v>0.45000000000000029</v>
      </c>
      <c r="C70" s="170">
        <f t="shared" ca="1" si="3"/>
        <v>7.6187502781976946E-3</v>
      </c>
      <c r="D70" s="154">
        <f t="shared" ca="1" si="8"/>
        <v>0.15102468430995941</v>
      </c>
      <c r="E70" s="154">
        <f t="shared" ca="1" si="5"/>
        <v>7.8692197799682617E-2</v>
      </c>
      <c r="F70" s="208">
        <f t="shared" ca="1" si="6"/>
        <v>1.1506193556012224E-3</v>
      </c>
      <c r="G70" s="208">
        <f t="shared" ca="1" si="7"/>
        <v>5.9953620387831995E-4</v>
      </c>
      <c r="H70" s="171"/>
      <c r="I70" s="40"/>
      <c r="J70" s="171"/>
      <c r="K70" s="40"/>
      <c r="L70" s="40"/>
      <c r="M70" s="40"/>
      <c r="N70" s="40"/>
      <c r="O70" s="40"/>
      <c r="P70" s="40"/>
      <c r="Q70" s="71"/>
    </row>
    <row r="71" spans="2:17" x14ac:dyDescent="0.4">
      <c r="B71" s="169">
        <f t="shared" si="4"/>
        <v>0.50000000000000033</v>
      </c>
      <c r="C71" s="170">
        <f t="shared" ca="1" si="3"/>
        <v>4.8874999811232556E-3</v>
      </c>
      <c r="D71" s="154">
        <f t="shared" ca="1" si="8"/>
        <v>0.1379811018705368</v>
      </c>
      <c r="E71" s="154">
        <f t="shared" ca="1" si="5"/>
        <v>7.1515820920467377E-2</v>
      </c>
      <c r="F71" s="208">
        <f t="shared" ca="1" si="6"/>
        <v>6.7438263278761469E-4</v>
      </c>
      <c r="G71" s="208">
        <f t="shared" ca="1" si="7"/>
        <v>3.4953357339879846E-4</v>
      </c>
      <c r="H71" s="171"/>
      <c r="I71" s="40"/>
      <c r="J71" s="171"/>
      <c r="K71" s="40"/>
      <c r="L71" s="40"/>
      <c r="M71" s="40"/>
      <c r="N71" s="40"/>
      <c r="O71" s="40"/>
      <c r="P71" s="40"/>
      <c r="Q71" s="71"/>
    </row>
    <row r="72" spans="2:17" x14ac:dyDescent="0.4">
      <c r="B72" s="169">
        <f t="shared" si="4"/>
        <v>0.55000000000000038</v>
      </c>
      <c r="C72" s="170">
        <f t="shared" ca="1" si="3"/>
        <v>2.8031250076310243E-3</v>
      </c>
      <c r="D72" s="154">
        <f t="shared" ca="1" si="8"/>
        <v>0.12533590197563171</v>
      </c>
      <c r="E72" s="154">
        <f t="shared" ca="1" si="5"/>
        <v>6.5125346183776855E-2</v>
      </c>
      <c r="F72" s="208">
        <f t="shared" ca="1" si="6"/>
        <v>3.5133220118188397E-4</v>
      </c>
      <c r="G72" s="208">
        <f t="shared" ca="1" si="7"/>
        <v>1.825544865183726E-4</v>
      </c>
      <c r="H72" s="171"/>
      <c r="I72" s="40"/>
      <c r="J72" s="171"/>
      <c r="K72" s="40"/>
      <c r="L72" s="40"/>
      <c r="M72" s="40"/>
      <c r="N72" s="40"/>
      <c r="O72" s="40"/>
      <c r="P72" s="40"/>
      <c r="Q72" s="71"/>
    </row>
    <row r="73" spans="2:17" x14ac:dyDescent="0.4">
      <c r="B73" s="169">
        <f t="shared" si="4"/>
        <v>0.60000000000000042</v>
      </c>
      <c r="C73" s="170">
        <f t="shared" ca="1" si="3"/>
        <v>1.1499999709485564E-3</v>
      </c>
      <c r="D73" s="154">
        <f t="shared" ca="1" si="8"/>
        <v>0.11301622539758682</v>
      </c>
      <c r="E73" s="154">
        <f t="shared" ca="1" si="5"/>
        <v>5.9303048998117447E-2</v>
      </c>
      <c r="F73" s="208">
        <f t="shared" ca="1" si="6"/>
        <v>1.2996865592394035E-4</v>
      </c>
      <c r="G73" s="208">
        <f t="shared" ca="1" si="7"/>
        <v>6.8198504624995883E-5</v>
      </c>
      <c r="H73" s="171"/>
      <c r="I73" s="40"/>
      <c r="J73" s="171"/>
      <c r="K73" s="40"/>
      <c r="L73" s="40"/>
      <c r="M73" s="40"/>
      <c r="N73" s="40"/>
      <c r="O73" s="40"/>
      <c r="P73" s="40"/>
      <c r="Q73" s="71"/>
    </row>
    <row r="74" spans="2:17" x14ac:dyDescent="0.4">
      <c r="B74" s="169">
        <f t="shared" si="4"/>
        <v>0.65000000000000047</v>
      </c>
      <c r="C74" s="170">
        <f t="shared" ca="1" si="3"/>
        <v>5.7499998547427822E-4</v>
      </c>
      <c r="D74" s="154">
        <f t="shared" ca="1" si="8"/>
        <v>0.10113465785980225</v>
      </c>
      <c r="E74" s="154">
        <f t="shared" ca="1" si="5"/>
        <v>5.3945157676935196E-2</v>
      </c>
      <c r="F74" s="208">
        <f t="shared" ca="1" si="6"/>
        <v>5.8152426800332389E-5</v>
      </c>
      <c r="G74" s="208">
        <f t="shared" ca="1" si="7"/>
        <v>3.1018464880645386E-5</v>
      </c>
      <c r="H74" s="171"/>
      <c r="I74" s="40"/>
      <c r="J74" s="171"/>
      <c r="K74" s="40"/>
      <c r="L74" s="40"/>
      <c r="M74" s="40"/>
      <c r="N74" s="40"/>
      <c r="O74" s="40"/>
      <c r="P74" s="40"/>
      <c r="Q74" s="71"/>
    </row>
    <row r="75" spans="2:17" x14ac:dyDescent="0.4">
      <c r="B75" s="169">
        <f t="shared" si="4"/>
        <v>0.70000000000000051</v>
      </c>
      <c r="C75" s="170">
        <f t="shared" ca="1" si="3"/>
        <v>0</v>
      </c>
      <c r="D75" s="154">
        <f t="shared" ca="1" si="8"/>
        <v>8.9591465890407562E-2</v>
      </c>
      <c r="E75" s="154">
        <f t="shared" ca="1" si="5"/>
        <v>4.8888605087995529E-2</v>
      </c>
      <c r="F75" s="208">
        <f t="shared" ca="1" si="6"/>
        <v>0</v>
      </c>
      <c r="G75" s="208">
        <f t="shared" ca="1" si="7"/>
        <v>0</v>
      </c>
      <c r="H75" s="171"/>
      <c r="I75" s="40"/>
      <c r="J75" s="171"/>
      <c r="K75" s="40"/>
      <c r="L75" s="40"/>
      <c r="M75" s="40"/>
      <c r="N75" s="40"/>
      <c r="O75" s="40"/>
      <c r="P75" s="40"/>
      <c r="Q75" s="71"/>
    </row>
    <row r="76" spans="2:17" x14ac:dyDescent="0.4">
      <c r="B76" s="169">
        <f t="shared" si="4"/>
        <v>0.75000000000000056</v>
      </c>
      <c r="C76" s="170">
        <f t="shared" ca="1" si="3"/>
        <v>0</v>
      </c>
      <c r="D76" s="154">
        <f t="shared" ca="1" si="8"/>
        <v>7.8280352056026459E-2</v>
      </c>
      <c r="E76" s="154">
        <f t="shared" ca="1" si="5"/>
        <v>4.3951552361249924E-2</v>
      </c>
      <c r="F76" s="208">
        <f t="shared" ca="1" si="6"/>
        <v>0</v>
      </c>
      <c r="G76" s="208">
        <f t="shared" ca="1" si="7"/>
        <v>0</v>
      </c>
      <c r="H76" s="171"/>
      <c r="I76" s="40"/>
      <c r="J76" s="171"/>
      <c r="K76" s="40"/>
      <c r="L76" s="40"/>
      <c r="M76" s="40"/>
      <c r="N76" s="40"/>
      <c r="O76" s="40"/>
      <c r="P76" s="40"/>
      <c r="Q76" s="71"/>
    </row>
    <row r="77" spans="2:17" x14ac:dyDescent="0.4">
      <c r="B77" s="169">
        <f t="shared" si="4"/>
        <v>0.8000000000000006</v>
      </c>
      <c r="C77" s="170">
        <f t="shared" ca="1" si="3"/>
        <v>0</v>
      </c>
      <c r="D77" s="154">
        <f t="shared" ca="1" si="8"/>
        <v>6.6827505826950073E-2</v>
      </c>
      <c r="E77" s="154">
        <f t="shared" ca="1" si="5"/>
        <v>3.8919501006603241E-2</v>
      </c>
      <c r="F77" s="208">
        <f t="shared" ca="1" si="6"/>
        <v>0</v>
      </c>
      <c r="G77" s="208">
        <f t="shared" ca="1" si="7"/>
        <v>0</v>
      </c>
      <c r="H77" s="171"/>
      <c r="I77" s="40"/>
      <c r="J77" s="171"/>
      <c r="K77" s="40"/>
      <c r="L77" s="40"/>
      <c r="M77" s="40"/>
      <c r="N77" s="40"/>
      <c r="O77" s="40"/>
      <c r="P77" s="40"/>
      <c r="Q77" s="71"/>
    </row>
    <row r="78" spans="2:17" x14ac:dyDescent="0.4">
      <c r="B78" s="169">
        <f t="shared" si="4"/>
        <v>0.85000000000000064</v>
      </c>
      <c r="C78" s="170">
        <f t="shared" ca="1" si="3"/>
        <v>0</v>
      </c>
      <c r="D78" s="154">
        <f t="shared" ca="1" si="8"/>
        <v>5.5092282593250275E-2</v>
      </c>
      <c r="E78" s="154">
        <f t="shared" ca="1" si="5"/>
        <v>3.3547449856996536E-2</v>
      </c>
      <c r="F78" s="208">
        <f t="shared" ca="1" si="6"/>
        <v>0</v>
      </c>
      <c r="G78" s="208">
        <f t="shared" ca="1" si="7"/>
        <v>0</v>
      </c>
      <c r="H78" s="171"/>
      <c r="I78" s="40"/>
      <c r="J78" s="171"/>
      <c r="K78" s="40"/>
      <c r="L78" s="40"/>
      <c r="M78" s="40"/>
      <c r="N78" s="40"/>
      <c r="O78" s="40"/>
      <c r="P78" s="40"/>
      <c r="Q78" s="71"/>
    </row>
    <row r="79" spans="2:17" x14ac:dyDescent="0.4">
      <c r="B79" s="169">
        <f t="shared" si="4"/>
        <v>0.90000000000000069</v>
      </c>
      <c r="C79" s="170">
        <f t="shared" ca="1" si="3"/>
        <v>0</v>
      </c>
      <c r="D79" s="154">
        <f t="shared" ca="1" si="8"/>
        <v>4.1984621435403824E-2</v>
      </c>
      <c r="E79" s="154">
        <f t="shared" ca="1" si="5"/>
        <v>2.7396438643336296E-2</v>
      </c>
      <c r="F79" s="208">
        <f t="shared" ca="1" si="6"/>
        <v>0</v>
      </c>
      <c r="G79" s="208">
        <f t="shared" ca="1" si="7"/>
        <v>0</v>
      </c>
      <c r="H79" s="171"/>
      <c r="I79" s="40"/>
      <c r="J79" s="171"/>
      <c r="K79" s="40"/>
      <c r="L79" s="40"/>
      <c r="M79" s="40"/>
      <c r="N79" s="40"/>
      <c r="O79" s="40"/>
      <c r="P79" s="40"/>
      <c r="Q79" s="71"/>
    </row>
    <row r="80" spans="2:17" x14ac:dyDescent="0.4">
      <c r="B80" s="169">
        <f t="shared" si="4"/>
        <v>0.95000000000000073</v>
      </c>
      <c r="C80" s="170">
        <f t="shared" ca="1" si="3"/>
        <v>0</v>
      </c>
      <c r="D80" s="154">
        <f t="shared" ca="1" si="8"/>
        <v>2.6554662734270096E-2</v>
      </c>
      <c r="E80" s="154">
        <f t="shared" ca="1" si="5"/>
        <v>1.9602416083216667E-2</v>
      </c>
      <c r="F80" s="208">
        <f t="shared" ca="1" si="6"/>
        <v>0</v>
      </c>
      <c r="G80" s="208">
        <f t="shared" ca="1" si="7"/>
        <v>0</v>
      </c>
      <c r="H80" s="171"/>
      <c r="I80" s="40"/>
      <c r="J80" s="171"/>
      <c r="K80" s="40"/>
      <c r="L80" s="40"/>
      <c r="M80" s="40"/>
      <c r="N80" s="40"/>
      <c r="O80" s="40"/>
      <c r="P80" s="40"/>
      <c r="Q80" s="71"/>
    </row>
    <row r="81" spans="1:17" x14ac:dyDescent="0.4">
      <c r="B81" s="169">
        <f t="shared" si="4"/>
        <v>1.0000000000000007</v>
      </c>
      <c r="C81" s="170">
        <f t="shared" ca="1" si="3"/>
        <v>0</v>
      </c>
      <c r="D81" s="154">
        <f t="shared" ca="1" si="8"/>
        <v>0</v>
      </c>
      <c r="E81" s="154">
        <f t="shared" ca="1" si="5"/>
        <v>0</v>
      </c>
      <c r="F81" s="208">
        <f t="shared" ca="1" si="6"/>
        <v>0</v>
      </c>
      <c r="G81" s="208">
        <f t="shared" ca="1" si="7"/>
        <v>0</v>
      </c>
      <c r="H81" s="40"/>
      <c r="I81" s="40"/>
      <c r="J81" s="40"/>
      <c r="K81" s="40"/>
      <c r="L81" s="40"/>
      <c r="M81" s="40"/>
      <c r="N81" s="83"/>
      <c r="O81" s="83"/>
      <c r="P81" s="40"/>
      <c r="Q81" s="71"/>
    </row>
    <row r="82" spans="1:17" ht="12.6" thickBot="1" x14ac:dyDescent="0.45">
      <c r="B82" s="161"/>
      <c r="C82" s="157"/>
      <c r="D82" s="184"/>
      <c r="E82" s="185"/>
      <c r="F82" s="157"/>
      <c r="G82" s="184"/>
      <c r="H82" s="186"/>
      <c r="I82" s="67"/>
      <c r="J82" s="184"/>
      <c r="K82" s="67"/>
      <c r="L82" s="67"/>
      <c r="M82" s="67"/>
      <c r="N82" s="184"/>
      <c r="O82" s="184"/>
      <c r="P82" s="67"/>
      <c r="Q82" s="73"/>
    </row>
    <row r="83" spans="1:17" x14ac:dyDescent="0.4">
      <c r="I83" s="12"/>
      <c r="J83" s="12"/>
      <c r="K83" s="12"/>
      <c r="L83" s="12"/>
      <c r="N83" s="187"/>
    </row>
    <row r="84" spans="1:17" x14ac:dyDescent="0.4">
      <c r="A84" s="10"/>
      <c r="B84" s="28"/>
      <c r="C84" s="28"/>
      <c r="D84" s="28"/>
      <c r="E84" s="28"/>
      <c r="F84" s="188"/>
      <c r="G84" s="28"/>
      <c r="H84" s="28"/>
      <c r="I84" s="188"/>
      <c r="J84" s="28"/>
      <c r="K84" s="188"/>
      <c r="L84" s="28"/>
    </row>
  </sheetData>
  <dataValidations count="2">
    <dataValidation type="list" allowBlank="1" showInputMessage="1" showErrorMessage="1" sqref="I43" xr:uid="{00000000-0002-0000-0300-000000000000}">
      <formula1>"uniform, generic"</formula1>
    </dataValidation>
    <dataValidation type="list" allowBlank="1" showInputMessage="1" showErrorMessage="1" sqref="B17" xr:uid="{00000000-0002-0000-0300-000001000000}">
      <formula1>"flapping, gliding"</formula1>
    </dataValidation>
  </dataValidations>
  <pageMargins left="0.25" right="0.25" top="0.75" bottom="0.75" header="0.3" footer="0.3"/>
  <pageSetup paperSize="9" scale="70" orientation="landscape" horizontalDpi="360" verticalDpi="36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64"/>
  <sheetViews>
    <sheetView topLeftCell="A8" workbookViewId="0">
      <selection activeCell="B52" sqref="B52"/>
    </sheetView>
  </sheetViews>
  <sheetFormatPr defaultRowHeight="12.3" x14ac:dyDescent="0.4"/>
  <cols>
    <col min="3" max="3" width="3.44140625" style="190" customWidth="1"/>
    <col min="5" max="5" width="3.5546875" style="190" customWidth="1"/>
    <col min="7" max="7" width="3.44140625" style="190" customWidth="1"/>
    <col min="9" max="9" width="3.44140625" style="190" customWidth="1"/>
  </cols>
  <sheetData>
    <row r="1" spans="1:14" x14ac:dyDescent="0.4">
      <c r="A1" s="10" t="s">
        <v>181</v>
      </c>
      <c r="B1" s="10"/>
      <c r="C1" s="189"/>
      <c r="D1" s="10"/>
      <c r="E1" s="189"/>
      <c r="F1" s="10"/>
      <c r="G1" s="189"/>
      <c r="H1" s="10"/>
      <c r="I1" s="189"/>
      <c r="J1" s="10"/>
    </row>
    <row r="2" spans="1:14" x14ac:dyDescent="0.4">
      <c r="A2" s="10" t="s">
        <v>182</v>
      </c>
      <c r="B2" s="10"/>
      <c r="C2" s="189"/>
      <c r="D2" s="10"/>
      <c r="E2" s="189"/>
      <c r="F2" s="10"/>
      <c r="G2" s="189"/>
      <c r="H2" s="10"/>
      <c r="I2" s="189"/>
      <c r="J2" s="10"/>
    </row>
    <row r="3" spans="1:14" x14ac:dyDescent="0.4">
      <c r="A3" s="10"/>
      <c r="B3" s="10"/>
      <c r="C3" s="189"/>
      <c r="D3" s="10"/>
      <c r="E3" s="189"/>
      <c r="F3" s="10"/>
      <c r="G3" s="189"/>
      <c r="H3" s="10"/>
      <c r="I3" s="189"/>
      <c r="J3" s="10">
        <f>SUM(J9:J180)</f>
        <v>1.0000000000000007</v>
      </c>
    </row>
    <row r="4" spans="1:14" x14ac:dyDescent="0.4">
      <c r="A4" s="10" t="s">
        <v>183</v>
      </c>
      <c r="B4" s="10"/>
      <c r="C4" s="189"/>
      <c r="D4" s="10"/>
      <c r="E4" s="189"/>
      <c r="F4" s="10"/>
      <c r="G4" s="189"/>
      <c r="H4" s="10"/>
      <c r="I4" s="189"/>
      <c r="J4" s="10"/>
    </row>
    <row r="5" spans="1:14" x14ac:dyDescent="0.4">
      <c r="A5" s="10"/>
      <c r="B5" s="10"/>
      <c r="C5" s="189"/>
      <c r="D5" s="10"/>
      <c r="E5" s="189"/>
      <c r="F5" s="10"/>
      <c r="G5" s="189"/>
      <c r="H5" s="10"/>
      <c r="I5" s="189"/>
      <c r="J5" s="10"/>
    </row>
    <row r="6" spans="1:14" x14ac:dyDescent="0.4">
      <c r="A6" s="10" t="s">
        <v>184</v>
      </c>
      <c r="B6" s="10" t="s">
        <v>57</v>
      </c>
      <c r="C6" s="189"/>
      <c r="D6" s="10" t="s">
        <v>57</v>
      </c>
      <c r="E6" s="189"/>
      <c r="F6" s="10" t="s">
        <v>185</v>
      </c>
      <c r="G6" s="189"/>
      <c r="H6" s="10" t="s">
        <v>186</v>
      </c>
      <c r="I6" s="189"/>
      <c r="J6" s="10" t="s">
        <v>187</v>
      </c>
    </row>
    <row r="7" spans="1:14" x14ac:dyDescent="0.4">
      <c r="A7" s="10" t="s">
        <v>188</v>
      </c>
      <c r="B7" s="10">
        <v>155</v>
      </c>
      <c r="C7" s="189"/>
      <c r="D7" s="10">
        <v>155</v>
      </c>
      <c r="E7" s="189"/>
      <c r="F7" s="10">
        <v>150</v>
      </c>
      <c r="G7" s="189"/>
      <c r="H7" s="10">
        <v>155</v>
      </c>
      <c r="I7" s="189"/>
      <c r="J7" s="10">
        <v>155</v>
      </c>
    </row>
    <row r="8" spans="1:14" x14ac:dyDescent="0.4">
      <c r="A8" s="10" t="s">
        <v>189</v>
      </c>
      <c r="B8" s="10" t="s">
        <v>190</v>
      </c>
      <c r="C8" s="189"/>
      <c r="D8" s="10" t="s">
        <v>190</v>
      </c>
      <c r="E8" s="189"/>
      <c r="F8" s="10" t="s">
        <v>190</v>
      </c>
      <c r="G8" s="189"/>
      <c r="H8" s="10" t="s">
        <v>190</v>
      </c>
      <c r="I8" s="189"/>
      <c r="J8" s="10" t="s">
        <v>190</v>
      </c>
    </row>
    <row r="9" spans="1:14" x14ac:dyDescent="0.4">
      <c r="A9" s="10">
        <v>0</v>
      </c>
      <c r="B9" s="10">
        <v>0.23316999999999999</v>
      </c>
      <c r="C9" s="189"/>
      <c r="D9" s="10">
        <v>0.23316999999999999</v>
      </c>
      <c r="E9" s="189"/>
      <c r="F9" s="10">
        <v>8.5709999999999995E-2</v>
      </c>
      <c r="G9" s="189"/>
      <c r="H9" s="10">
        <v>0.51407999999999998</v>
      </c>
      <c r="I9" s="189"/>
      <c r="J9" s="10">
        <v>0</v>
      </c>
    </row>
    <row r="10" spans="1:14" x14ac:dyDescent="0.4">
      <c r="A10" s="10">
        <v>1</v>
      </c>
      <c r="B10" s="10">
        <v>0.15457000000000001</v>
      </c>
      <c r="C10" s="189"/>
      <c r="D10" s="10">
        <v>0.15457000000000001</v>
      </c>
      <c r="E10" s="189"/>
      <c r="F10" s="10">
        <v>7.85E-2</v>
      </c>
      <c r="G10" s="189"/>
      <c r="H10" s="10">
        <v>0.23183999999999999</v>
      </c>
      <c r="I10" s="189"/>
      <c r="J10" s="10">
        <v>0.03</v>
      </c>
    </row>
    <row r="11" spans="1:14" x14ac:dyDescent="0.4">
      <c r="A11" s="10">
        <v>2</v>
      </c>
      <c r="B11" s="10">
        <v>0.10506</v>
      </c>
      <c r="C11" s="189"/>
      <c r="D11" s="10">
        <v>0.10506</v>
      </c>
      <c r="E11" s="189"/>
      <c r="F11" s="10">
        <v>7.1749999999999994E-2</v>
      </c>
      <c r="G11" s="189"/>
      <c r="H11" s="10">
        <v>0.11113000000000001</v>
      </c>
      <c r="I11" s="189"/>
      <c r="J11" s="10">
        <v>0.03</v>
      </c>
      <c r="M11" s="218"/>
    </row>
    <row r="12" spans="1:14" x14ac:dyDescent="0.4">
      <c r="A12" s="10">
        <v>3</v>
      </c>
      <c r="B12" s="10">
        <v>7.3349999999999999E-2</v>
      </c>
      <c r="C12" s="189"/>
      <c r="D12" s="10">
        <v>7.3349999999999999E-2</v>
      </c>
      <c r="E12" s="189"/>
      <c r="F12" s="10">
        <v>6.5259999999999999E-2</v>
      </c>
      <c r="G12" s="189"/>
      <c r="H12" s="10">
        <v>5.4199999999999998E-2</v>
      </c>
      <c r="I12" s="189"/>
      <c r="J12" s="10">
        <v>0.03</v>
      </c>
    </row>
    <row r="13" spans="1:14" x14ac:dyDescent="0.4">
      <c r="A13" s="10">
        <v>4</v>
      </c>
      <c r="B13" s="10">
        <v>5.355E-2</v>
      </c>
      <c r="C13" s="189"/>
      <c r="D13" s="10">
        <v>5.355E-2</v>
      </c>
      <c r="E13" s="189"/>
      <c r="F13" s="10">
        <v>5.987E-2</v>
      </c>
      <c r="G13" s="189"/>
      <c r="H13" s="10">
        <v>2.7400000000000001E-2</v>
      </c>
      <c r="I13" s="189"/>
      <c r="J13" s="10">
        <v>0.03</v>
      </c>
    </row>
    <row r="14" spans="1:14" x14ac:dyDescent="0.4">
      <c r="A14" s="10">
        <v>5</v>
      </c>
      <c r="B14" s="10">
        <v>3.9359999999999999E-2</v>
      </c>
      <c r="C14" s="189"/>
      <c r="D14" s="10">
        <v>3.9359999999999999E-2</v>
      </c>
      <c r="E14" s="189"/>
      <c r="F14" s="10">
        <v>5.4989999999999997E-2</v>
      </c>
      <c r="G14" s="189"/>
      <c r="H14" s="10">
        <v>1.4409999999999999E-2</v>
      </c>
      <c r="I14" s="189"/>
      <c r="J14" s="10">
        <v>0.03</v>
      </c>
    </row>
    <row r="15" spans="1:14" x14ac:dyDescent="0.4">
      <c r="A15" s="10">
        <v>6</v>
      </c>
      <c r="B15" s="10">
        <v>2.8850000000000001E-2</v>
      </c>
      <c r="C15" s="189"/>
      <c r="D15" s="10">
        <v>2.8850000000000001E-2</v>
      </c>
      <c r="E15" s="189"/>
      <c r="F15" s="10">
        <v>5.0950000000000002E-2</v>
      </c>
      <c r="G15" s="189"/>
      <c r="H15" s="10">
        <v>7.8200000000000006E-3</v>
      </c>
      <c r="I15" s="189"/>
      <c r="J15" s="10">
        <v>0.03</v>
      </c>
      <c r="N15" s="205"/>
    </row>
    <row r="16" spans="1:14" x14ac:dyDescent="0.4">
      <c r="A16" s="10">
        <v>7</v>
      </c>
      <c r="B16" s="10">
        <v>2.1680000000000001E-2</v>
      </c>
      <c r="C16" s="189"/>
      <c r="D16" s="10">
        <v>2.1680000000000001E-2</v>
      </c>
      <c r="E16" s="189"/>
      <c r="F16" s="10">
        <v>4.6800000000000001E-2</v>
      </c>
      <c r="G16" s="189"/>
      <c r="H16" s="10">
        <v>4.3899999999999998E-3</v>
      </c>
      <c r="I16" s="189"/>
      <c r="J16" s="10">
        <v>0.03</v>
      </c>
    </row>
    <row r="17" spans="1:19" x14ac:dyDescent="0.4">
      <c r="A17" s="10">
        <v>8</v>
      </c>
      <c r="B17" s="10">
        <v>1.6729999999999998E-2</v>
      </c>
      <c r="C17" s="189"/>
      <c r="D17" s="10">
        <v>1.6729999999999998E-2</v>
      </c>
      <c r="E17" s="189"/>
      <c r="F17" s="10">
        <v>4.2630000000000001E-2</v>
      </c>
      <c r="G17" s="189"/>
      <c r="H17" s="10">
        <v>2.5699999999999998E-3</v>
      </c>
      <c r="I17" s="189"/>
      <c r="J17" s="10">
        <v>0.03</v>
      </c>
    </row>
    <row r="18" spans="1:19" x14ac:dyDescent="0.4">
      <c r="A18" s="10">
        <v>9</v>
      </c>
      <c r="B18" s="10">
        <v>1.316E-2</v>
      </c>
      <c r="C18" s="189"/>
      <c r="D18" s="10">
        <v>1.316E-2</v>
      </c>
      <c r="E18" s="189"/>
      <c r="F18" s="10">
        <v>3.9070000000000001E-2</v>
      </c>
      <c r="G18" s="189"/>
      <c r="H18" s="10">
        <v>1.5499999999999999E-3</v>
      </c>
      <c r="I18" s="189"/>
      <c r="J18" s="10">
        <v>0.03</v>
      </c>
    </row>
    <row r="19" spans="1:19" x14ac:dyDescent="0.4">
      <c r="A19" s="10">
        <v>10</v>
      </c>
      <c r="B19" s="10">
        <v>1.077E-2</v>
      </c>
      <c r="C19" s="189"/>
      <c r="D19" s="10">
        <v>1.077E-2</v>
      </c>
      <c r="E19" s="189"/>
      <c r="F19" s="10">
        <v>3.5900000000000001E-2</v>
      </c>
      <c r="G19" s="189"/>
      <c r="H19" s="10">
        <v>9.7999999999999997E-4</v>
      </c>
      <c r="I19" s="189"/>
      <c r="J19" s="10">
        <v>0.03</v>
      </c>
    </row>
    <row r="20" spans="1:19" x14ac:dyDescent="0.4">
      <c r="A20" s="10">
        <v>11</v>
      </c>
      <c r="B20" s="10">
        <v>9.3600000000000003E-3</v>
      </c>
      <c r="C20" s="189"/>
      <c r="D20" s="10">
        <v>9.3600000000000003E-3</v>
      </c>
      <c r="E20" s="189"/>
      <c r="F20" s="10">
        <v>3.2930000000000001E-2</v>
      </c>
      <c r="G20" s="189"/>
      <c r="H20" s="10">
        <v>6.4999999999999997E-4</v>
      </c>
      <c r="I20" s="189"/>
      <c r="J20" s="10">
        <v>5.0000000000000001E-3</v>
      </c>
    </row>
    <row r="21" spans="1:19" x14ac:dyDescent="0.4">
      <c r="A21" s="10">
        <v>12</v>
      </c>
      <c r="B21" s="10">
        <v>8.7100000000000007E-3</v>
      </c>
      <c r="C21" s="189"/>
      <c r="D21" s="10">
        <v>8.7100000000000007E-3</v>
      </c>
      <c r="E21" s="189"/>
      <c r="F21" s="10">
        <v>2.997E-2</v>
      </c>
      <c r="G21" s="189"/>
      <c r="H21" s="10">
        <v>4.4999999999999999E-4</v>
      </c>
      <c r="I21" s="189"/>
      <c r="J21" s="10">
        <v>5.0000000000000001E-3</v>
      </c>
    </row>
    <row r="22" spans="1:19" x14ac:dyDescent="0.4">
      <c r="A22" s="10">
        <v>13</v>
      </c>
      <c r="B22" s="10">
        <v>8.5400000000000007E-3</v>
      </c>
      <c r="C22" s="189"/>
      <c r="D22" s="10">
        <v>8.5400000000000007E-3</v>
      </c>
      <c r="E22" s="189"/>
      <c r="F22" s="10">
        <v>2.7470000000000001E-2</v>
      </c>
      <c r="G22" s="189"/>
      <c r="H22" s="10">
        <v>3.3E-4</v>
      </c>
      <c r="I22" s="189"/>
      <c r="J22" s="10">
        <v>5.0000000000000001E-3</v>
      </c>
    </row>
    <row r="23" spans="1:19" x14ac:dyDescent="0.4">
      <c r="A23" s="10">
        <v>14</v>
      </c>
      <c r="B23" s="10">
        <v>8.77E-3</v>
      </c>
      <c r="C23" s="189"/>
      <c r="D23" s="10">
        <v>8.77E-3</v>
      </c>
      <c r="E23" s="189"/>
      <c r="F23" s="10">
        <v>2.5049999999999999E-2</v>
      </c>
      <c r="G23" s="189"/>
      <c r="H23" s="10">
        <v>2.5000000000000001E-4</v>
      </c>
      <c r="I23" s="189"/>
      <c r="J23" s="10">
        <v>5.0000000000000001E-3</v>
      </c>
    </row>
    <row r="24" spans="1:19" x14ac:dyDescent="0.4">
      <c r="A24" s="10">
        <v>15</v>
      </c>
      <c r="B24" s="10">
        <v>9.3699999999999999E-3</v>
      </c>
      <c r="C24" s="189"/>
      <c r="D24" s="10">
        <v>9.3699999999999999E-3</v>
      </c>
      <c r="E24" s="189"/>
      <c r="F24" s="10">
        <v>2.3050000000000001E-2</v>
      </c>
      <c r="G24" s="189"/>
      <c r="H24" s="10">
        <v>1.9000000000000001E-4</v>
      </c>
      <c r="I24" s="189"/>
      <c r="J24" s="10">
        <v>5.0000000000000001E-3</v>
      </c>
    </row>
    <row r="25" spans="1:19" x14ac:dyDescent="0.4">
      <c r="A25" s="10">
        <v>16</v>
      </c>
      <c r="B25" s="10">
        <v>1.009E-2</v>
      </c>
      <c r="C25" s="189"/>
      <c r="D25" s="10">
        <v>1.009E-2</v>
      </c>
      <c r="E25" s="189"/>
      <c r="F25" s="10">
        <v>2.1180000000000001E-2</v>
      </c>
      <c r="G25" s="189"/>
      <c r="H25" s="10">
        <v>1.6000000000000001E-4</v>
      </c>
      <c r="I25" s="189"/>
      <c r="J25" s="10">
        <v>5.0000000000000001E-3</v>
      </c>
    </row>
    <row r="26" spans="1:19" x14ac:dyDescent="0.4">
      <c r="A26" s="10">
        <v>17</v>
      </c>
      <c r="B26" s="10">
        <v>1.0880000000000001E-2</v>
      </c>
      <c r="C26" s="189"/>
      <c r="D26" s="10">
        <v>1.0880000000000001E-2</v>
      </c>
      <c r="E26" s="189"/>
      <c r="F26" s="10">
        <v>1.9290000000000002E-2</v>
      </c>
      <c r="G26" s="189"/>
      <c r="H26" s="10">
        <v>1.2999999999999999E-4</v>
      </c>
      <c r="I26" s="189"/>
      <c r="J26" s="10">
        <v>5.0000000000000001E-3</v>
      </c>
    </row>
    <row r="27" spans="1:19" x14ac:dyDescent="0.4">
      <c r="A27" s="10">
        <v>18</v>
      </c>
      <c r="B27" s="10">
        <v>1.1509999999999999E-2</v>
      </c>
      <c r="C27" s="189"/>
      <c r="D27" s="10">
        <v>1.1509999999999999E-2</v>
      </c>
      <c r="E27" s="189"/>
      <c r="F27" s="10">
        <v>1.7649999999999999E-2</v>
      </c>
      <c r="G27" s="189"/>
      <c r="H27" s="10">
        <v>1.2E-4</v>
      </c>
      <c r="I27" s="189"/>
      <c r="J27" s="10">
        <v>5.0000000000000001E-3</v>
      </c>
    </row>
    <row r="28" spans="1:19" x14ac:dyDescent="0.4">
      <c r="A28" s="10">
        <v>19</v>
      </c>
      <c r="B28" s="10">
        <v>1.175E-2</v>
      </c>
      <c r="C28" s="189"/>
      <c r="D28" s="10">
        <v>1.175E-2</v>
      </c>
      <c r="E28" s="189"/>
      <c r="F28" s="10">
        <v>1.5869999999999999E-2</v>
      </c>
      <c r="G28" s="189"/>
      <c r="H28" s="10">
        <v>1E-4</v>
      </c>
      <c r="I28" s="189"/>
      <c r="J28" s="10">
        <v>5.0000000000000001E-3</v>
      </c>
    </row>
    <row r="29" spans="1:19" x14ac:dyDescent="0.4">
      <c r="A29" s="10">
        <v>20</v>
      </c>
      <c r="B29" s="219">
        <v>1.167E-2</v>
      </c>
      <c r="C29" s="189"/>
      <c r="D29" s="10">
        <v>1.167E-2</v>
      </c>
      <c r="E29" s="189"/>
      <c r="F29" s="10">
        <v>1.3979999999999999E-2</v>
      </c>
      <c r="G29" s="189"/>
      <c r="H29" s="10">
        <v>9.0000000000000006E-5</v>
      </c>
      <c r="I29" s="189"/>
      <c r="J29" s="10">
        <v>5.0000000000000001E-3</v>
      </c>
    </row>
    <row r="30" spans="1:19" x14ac:dyDescent="0.4">
      <c r="A30" s="10">
        <v>21</v>
      </c>
      <c r="B30" s="219">
        <v>1.137E-2</v>
      </c>
      <c r="C30" s="189"/>
      <c r="D30" s="10">
        <v>1.137E-2</v>
      </c>
      <c r="E30" s="189"/>
      <c r="F30" s="10">
        <v>1.247E-2</v>
      </c>
      <c r="G30" s="189"/>
      <c r="H30" s="10">
        <v>9.0000000000000006E-5</v>
      </c>
      <c r="I30" s="189"/>
      <c r="J30" s="10">
        <v>5.0000000000000001E-3</v>
      </c>
      <c r="S30" s="216"/>
    </row>
    <row r="31" spans="1:19" x14ac:dyDescent="0.4">
      <c r="A31" s="10">
        <v>22</v>
      </c>
      <c r="B31" s="219">
        <v>1.0789999999999999E-2</v>
      </c>
      <c r="C31" s="189"/>
      <c r="D31" s="10">
        <v>1.0789999999999999E-2</v>
      </c>
      <c r="E31" s="189"/>
      <c r="F31" s="10">
        <v>1.115E-2</v>
      </c>
      <c r="G31" s="189"/>
      <c r="H31" s="10">
        <v>9.0000000000000006E-5</v>
      </c>
      <c r="I31" s="189"/>
      <c r="J31" s="10">
        <v>5.0000000000000001E-3</v>
      </c>
    </row>
    <row r="32" spans="1:19" x14ac:dyDescent="0.4">
      <c r="A32" s="10">
        <v>23</v>
      </c>
      <c r="B32" s="219">
        <v>1.008E-2</v>
      </c>
      <c r="C32" s="189"/>
      <c r="D32" s="10">
        <v>1.008E-2</v>
      </c>
      <c r="E32" s="189"/>
      <c r="F32" s="10">
        <v>9.9900000000000006E-3</v>
      </c>
      <c r="G32" s="189"/>
      <c r="H32" s="10">
        <v>8.0000000000000007E-5</v>
      </c>
      <c r="I32" s="189"/>
      <c r="J32" s="10">
        <v>5.0000000000000001E-3</v>
      </c>
    </row>
    <row r="33" spans="1:10" x14ac:dyDescent="0.4">
      <c r="A33" s="10">
        <v>24</v>
      </c>
      <c r="B33" s="219">
        <v>9.2399999999999999E-3</v>
      </c>
      <c r="C33" s="189"/>
      <c r="D33" s="10">
        <v>9.2399999999999999E-3</v>
      </c>
      <c r="E33" s="189"/>
      <c r="F33" s="10">
        <v>8.9499999999999996E-3</v>
      </c>
      <c r="G33" s="189"/>
      <c r="H33" s="10">
        <v>8.0000000000000007E-5</v>
      </c>
      <c r="I33" s="189"/>
      <c r="J33" s="10">
        <v>5.0000000000000001E-3</v>
      </c>
    </row>
    <row r="34" spans="1:10" x14ac:dyDescent="0.4">
      <c r="A34" s="10">
        <v>25</v>
      </c>
      <c r="B34" s="219">
        <v>8.4200000000000004E-3</v>
      </c>
      <c r="C34" s="189"/>
      <c r="D34" s="10">
        <v>8.4200000000000004E-3</v>
      </c>
      <c r="E34" s="189"/>
      <c r="F34" s="10">
        <v>8.0099999999999998E-3</v>
      </c>
      <c r="G34" s="189"/>
      <c r="H34" s="10">
        <v>8.0000000000000007E-5</v>
      </c>
      <c r="I34" s="189"/>
      <c r="J34" s="10">
        <v>5.0000000000000001E-3</v>
      </c>
    </row>
    <row r="35" spans="1:10" x14ac:dyDescent="0.4">
      <c r="A35" s="10">
        <v>26</v>
      </c>
      <c r="B35" s="219">
        <v>7.5700000000000003E-3</v>
      </c>
      <c r="C35" s="189"/>
      <c r="D35" s="10">
        <v>7.5700000000000003E-3</v>
      </c>
      <c r="E35" s="189"/>
      <c r="F35" s="10">
        <v>7.1000000000000004E-3</v>
      </c>
      <c r="G35" s="189"/>
      <c r="H35" s="10">
        <v>6.9999999999999994E-5</v>
      </c>
      <c r="I35" s="189"/>
      <c r="J35" s="10">
        <v>5.0000000000000001E-3</v>
      </c>
    </row>
    <row r="36" spans="1:10" x14ac:dyDescent="0.4">
      <c r="A36" s="10">
        <v>27</v>
      </c>
      <c r="B36" s="219">
        <v>6.6400000000000001E-3</v>
      </c>
      <c r="C36" s="189"/>
      <c r="D36" s="10">
        <v>6.6400000000000001E-3</v>
      </c>
      <c r="E36" s="189"/>
      <c r="F36" s="10">
        <v>6.3099999999999996E-3</v>
      </c>
      <c r="G36" s="189"/>
      <c r="H36" s="10">
        <v>6.9999999999999994E-5</v>
      </c>
      <c r="I36" s="189"/>
      <c r="J36" s="10">
        <v>5.0000000000000001E-3</v>
      </c>
    </row>
    <row r="37" spans="1:10" x14ac:dyDescent="0.4">
      <c r="A37" s="10">
        <v>28</v>
      </c>
      <c r="B37" s="219">
        <v>5.7800000000000004E-3</v>
      </c>
      <c r="C37" s="189"/>
      <c r="D37" s="10">
        <v>5.7800000000000004E-3</v>
      </c>
      <c r="E37" s="189"/>
      <c r="F37" s="10">
        <v>5.6499999999999996E-3</v>
      </c>
      <c r="G37" s="189"/>
      <c r="H37" s="10">
        <v>6.9999999999999994E-5</v>
      </c>
      <c r="I37" s="189"/>
      <c r="J37" s="10">
        <v>5.0000000000000001E-3</v>
      </c>
    </row>
    <row r="38" spans="1:10" x14ac:dyDescent="0.4">
      <c r="A38" s="10">
        <v>29</v>
      </c>
      <c r="B38" s="219">
        <v>5.0200000000000002E-3</v>
      </c>
      <c r="C38" s="189"/>
      <c r="D38" s="10">
        <v>5.0200000000000002E-3</v>
      </c>
      <c r="E38" s="189"/>
      <c r="F38" s="10">
        <v>4.96E-3</v>
      </c>
      <c r="G38" s="189"/>
      <c r="H38" s="10">
        <v>6.9999999999999994E-5</v>
      </c>
      <c r="I38" s="189"/>
      <c r="J38" s="10">
        <v>5.0000000000000001E-3</v>
      </c>
    </row>
    <row r="39" spans="1:10" x14ac:dyDescent="0.4">
      <c r="A39" s="10">
        <v>30</v>
      </c>
      <c r="B39" s="219">
        <v>4.2900000000000004E-3</v>
      </c>
      <c r="C39" s="189"/>
      <c r="D39" s="10">
        <v>4.2900000000000004E-3</v>
      </c>
      <c r="E39" s="189"/>
      <c r="F39" s="10">
        <v>4.4400000000000004E-3</v>
      </c>
      <c r="G39" s="189"/>
      <c r="H39" s="10">
        <v>6.9999999999999994E-5</v>
      </c>
      <c r="I39" s="189"/>
      <c r="J39" s="10">
        <v>5.0000000000000001E-3</v>
      </c>
    </row>
    <row r="40" spans="1:10" x14ac:dyDescent="0.4">
      <c r="A40" s="10">
        <v>31</v>
      </c>
      <c r="B40" s="219">
        <v>3.5200000000000001E-3</v>
      </c>
      <c r="C40" s="189"/>
      <c r="D40" s="10">
        <v>3.5200000000000001E-3</v>
      </c>
      <c r="E40" s="189"/>
      <c r="F40" s="10">
        <v>3.9100000000000003E-3</v>
      </c>
      <c r="G40" s="189"/>
      <c r="H40" s="10">
        <v>6.9999999999999994E-5</v>
      </c>
      <c r="I40" s="189"/>
      <c r="J40" s="10">
        <v>5.0000000000000001E-3</v>
      </c>
    </row>
    <row r="41" spans="1:10" x14ac:dyDescent="0.4">
      <c r="A41" s="10">
        <v>32</v>
      </c>
      <c r="B41" s="219">
        <v>2.96E-3</v>
      </c>
      <c r="C41" s="189"/>
      <c r="D41" s="10">
        <v>2.96E-3</v>
      </c>
      <c r="E41" s="189"/>
      <c r="F41" s="10">
        <v>3.4499999999999999E-3</v>
      </c>
      <c r="G41" s="189"/>
      <c r="H41" s="10">
        <v>6.9999999999999994E-5</v>
      </c>
      <c r="I41" s="189"/>
      <c r="J41" s="10">
        <v>5.0000000000000001E-3</v>
      </c>
    </row>
    <row r="42" spans="1:10" x14ac:dyDescent="0.4">
      <c r="A42" s="10">
        <v>33</v>
      </c>
      <c r="B42" s="219">
        <v>2.4199999999999998E-3</v>
      </c>
      <c r="C42" s="189"/>
      <c r="D42" s="10">
        <v>2.4199999999999998E-3</v>
      </c>
      <c r="E42" s="189"/>
      <c r="F42" s="10">
        <v>3.0500000000000002E-3</v>
      </c>
      <c r="G42" s="189"/>
      <c r="H42" s="10">
        <v>6.9999999999999994E-5</v>
      </c>
      <c r="I42" s="189"/>
      <c r="J42" s="10">
        <v>5.0000000000000001E-3</v>
      </c>
    </row>
    <row r="43" spans="1:10" x14ac:dyDescent="0.4">
      <c r="A43" s="10">
        <v>34</v>
      </c>
      <c r="B43" s="219">
        <v>2.0200000000000001E-3</v>
      </c>
      <c r="C43" s="189"/>
      <c r="D43" s="10">
        <v>2.0200000000000001E-3</v>
      </c>
      <c r="E43" s="189"/>
      <c r="F43" s="10">
        <v>2.7100000000000002E-3</v>
      </c>
      <c r="G43" s="189"/>
      <c r="H43" s="10">
        <v>6.0000000000000002E-5</v>
      </c>
      <c r="I43" s="189"/>
      <c r="J43" s="10">
        <v>5.0000000000000001E-3</v>
      </c>
    </row>
    <row r="44" spans="1:10" x14ac:dyDescent="0.4">
      <c r="A44" s="10">
        <v>35</v>
      </c>
      <c r="B44" s="219">
        <v>1.65E-3</v>
      </c>
      <c r="C44" s="189"/>
      <c r="D44" s="10">
        <v>1.65E-3</v>
      </c>
      <c r="E44" s="189"/>
      <c r="F44" s="10">
        <v>2.3800000000000002E-3</v>
      </c>
      <c r="G44" s="189"/>
      <c r="H44" s="10">
        <v>6.0000000000000002E-5</v>
      </c>
      <c r="I44" s="189"/>
      <c r="J44" s="10">
        <v>5.0000000000000001E-3</v>
      </c>
    </row>
    <row r="45" spans="1:10" x14ac:dyDescent="0.4">
      <c r="A45" s="10">
        <v>36</v>
      </c>
      <c r="B45" s="219">
        <v>1.3699999999999999E-3</v>
      </c>
      <c r="C45" s="189"/>
      <c r="D45" s="10">
        <v>1.3699999999999999E-3</v>
      </c>
      <c r="E45" s="189"/>
      <c r="F45" s="10">
        <v>2.1299999999999999E-3</v>
      </c>
      <c r="G45" s="189"/>
      <c r="H45" s="10">
        <v>6.0000000000000002E-5</v>
      </c>
      <c r="I45" s="189"/>
      <c r="J45" s="10">
        <v>5.0000000000000001E-3</v>
      </c>
    </row>
    <row r="46" spans="1:10" x14ac:dyDescent="0.4">
      <c r="A46" s="10">
        <v>37</v>
      </c>
      <c r="B46" s="219">
        <v>1.09E-3</v>
      </c>
      <c r="C46" s="189"/>
      <c r="D46" s="10">
        <v>1.09E-3</v>
      </c>
      <c r="E46" s="189"/>
      <c r="F46" s="10">
        <v>1.8500000000000001E-3</v>
      </c>
      <c r="G46" s="189"/>
      <c r="H46" s="10">
        <v>5.0000000000000002E-5</v>
      </c>
      <c r="I46" s="189"/>
      <c r="J46" s="10">
        <v>5.0000000000000001E-3</v>
      </c>
    </row>
    <row r="47" spans="1:10" x14ac:dyDescent="0.4">
      <c r="A47" s="10">
        <v>38</v>
      </c>
      <c r="B47" s="219">
        <v>8.8000000000000003E-4</v>
      </c>
      <c r="C47" s="189"/>
      <c r="D47" s="10">
        <v>8.8000000000000003E-4</v>
      </c>
      <c r="E47" s="189"/>
      <c r="F47" s="10">
        <v>1.64E-3</v>
      </c>
      <c r="G47" s="189"/>
      <c r="H47" s="10">
        <v>5.0000000000000002E-5</v>
      </c>
      <c r="I47" s="189"/>
      <c r="J47" s="10">
        <v>5.0000000000000001E-3</v>
      </c>
    </row>
    <row r="48" spans="1:10" x14ac:dyDescent="0.4">
      <c r="A48" s="10">
        <v>39</v>
      </c>
      <c r="B48" s="219">
        <v>6.8999999999999997E-4</v>
      </c>
      <c r="C48" s="189"/>
      <c r="D48" s="10">
        <v>6.8999999999999997E-4</v>
      </c>
      <c r="E48" s="189"/>
      <c r="F48" s="10">
        <v>1.4499999999999999E-3</v>
      </c>
      <c r="G48" s="189"/>
      <c r="H48" s="10">
        <v>5.0000000000000002E-5</v>
      </c>
      <c r="I48" s="189"/>
      <c r="J48" s="10">
        <v>5.0000000000000001E-3</v>
      </c>
    </row>
    <row r="49" spans="1:10" x14ac:dyDescent="0.4">
      <c r="A49" s="10">
        <v>40</v>
      </c>
      <c r="B49" s="219">
        <v>5.4000000000000001E-4</v>
      </c>
      <c r="C49" s="189"/>
      <c r="D49" s="10">
        <v>5.4000000000000001E-4</v>
      </c>
      <c r="E49" s="189"/>
      <c r="F49" s="10">
        <v>1.2800000000000001E-3</v>
      </c>
      <c r="G49" s="189"/>
      <c r="H49" s="10">
        <v>4.0000000000000003E-5</v>
      </c>
      <c r="I49" s="189"/>
      <c r="J49" s="10">
        <v>5.0000000000000001E-3</v>
      </c>
    </row>
    <row r="50" spans="1:10" x14ac:dyDescent="0.4">
      <c r="A50" s="10">
        <v>41</v>
      </c>
      <c r="B50" s="219">
        <v>4.0999999999999999E-4</v>
      </c>
      <c r="C50" s="189"/>
      <c r="D50" s="10">
        <v>4.0999999999999999E-4</v>
      </c>
      <c r="E50" s="189"/>
      <c r="F50" s="10">
        <v>1.1299999999999999E-3</v>
      </c>
      <c r="G50" s="189"/>
      <c r="H50" s="10">
        <v>4.0000000000000003E-5</v>
      </c>
      <c r="I50" s="189"/>
      <c r="J50" s="10">
        <v>5.0000000000000001E-3</v>
      </c>
    </row>
    <row r="51" spans="1:10" x14ac:dyDescent="0.4">
      <c r="A51" s="10">
        <v>42</v>
      </c>
      <c r="B51" s="219">
        <v>3.2000000000000003E-4</v>
      </c>
      <c r="C51" s="189"/>
      <c r="D51" s="10">
        <v>3.2000000000000003E-4</v>
      </c>
      <c r="E51" s="189"/>
      <c r="F51" s="10">
        <v>1.01E-3</v>
      </c>
      <c r="G51" s="189"/>
      <c r="H51" s="10">
        <v>4.0000000000000003E-5</v>
      </c>
      <c r="I51" s="189"/>
      <c r="J51" s="10">
        <v>5.0000000000000001E-3</v>
      </c>
    </row>
    <row r="52" spans="1:10" x14ac:dyDescent="0.4">
      <c r="A52" s="10">
        <v>43</v>
      </c>
      <c r="B52" s="219">
        <v>2.5000000000000001E-4</v>
      </c>
      <c r="C52" s="189"/>
      <c r="D52" s="10">
        <v>2.5000000000000001E-4</v>
      </c>
      <c r="E52" s="189"/>
      <c r="F52" s="10">
        <v>9.2000000000000003E-4</v>
      </c>
      <c r="G52" s="189"/>
      <c r="H52" s="10">
        <v>3.0000000000000001E-5</v>
      </c>
      <c r="I52" s="189"/>
      <c r="J52" s="10">
        <v>5.0000000000000001E-3</v>
      </c>
    </row>
    <row r="53" spans="1:10" x14ac:dyDescent="0.4">
      <c r="A53" s="10">
        <v>44</v>
      </c>
      <c r="B53" s="219">
        <v>1.9000000000000001E-4</v>
      </c>
      <c r="C53" s="189"/>
      <c r="D53" s="10">
        <v>1.9000000000000001E-4</v>
      </c>
      <c r="E53" s="189"/>
      <c r="F53" s="10">
        <v>8.0999999999999996E-4</v>
      </c>
      <c r="G53" s="189"/>
      <c r="H53" s="10">
        <v>3.0000000000000001E-5</v>
      </c>
      <c r="I53" s="189"/>
      <c r="J53" s="10">
        <v>5.0000000000000001E-3</v>
      </c>
    </row>
    <row r="54" spans="1:10" x14ac:dyDescent="0.4">
      <c r="A54" s="10">
        <v>45</v>
      </c>
      <c r="B54" s="10">
        <v>1.3999999999999999E-4</v>
      </c>
      <c r="C54" s="189"/>
      <c r="D54" s="10">
        <v>1.3999999999999999E-4</v>
      </c>
      <c r="E54" s="189"/>
      <c r="F54" s="10">
        <v>7.1000000000000002E-4</v>
      </c>
      <c r="G54" s="189"/>
      <c r="H54" s="10">
        <v>3.0000000000000001E-5</v>
      </c>
      <c r="I54" s="189"/>
      <c r="J54" s="10">
        <v>5.0000000000000001E-3</v>
      </c>
    </row>
    <row r="55" spans="1:10" x14ac:dyDescent="0.4">
      <c r="A55" s="10">
        <v>46</v>
      </c>
      <c r="B55" s="10">
        <v>1.1E-4</v>
      </c>
      <c r="C55" s="189"/>
      <c r="D55" s="10">
        <v>1.1E-4</v>
      </c>
      <c r="E55" s="189"/>
      <c r="F55" s="10">
        <v>6.3000000000000003E-4</v>
      </c>
      <c r="G55" s="189"/>
      <c r="H55" s="10">
        <v>3.0000000000000001E-5</v>
      </c>
      <c r="I55" s="189"/>
      <c r="J55" s="10">
        <v>5.0000000000000001E-3</v>
      </c>
    </row>
    <row r="56" spans="1:10" x14ac:dyDescent="0.4">
      <c r="A56" s="10">
        <v>47</v>
      </c>
      <c r="B56" s="10">
        <v>9.0000000000000006E-5</v>
      </c>
      <c r="C56" s="189"/>
      <c r="D56" s="10">
        <v>9.0000000000000006E-5</v>
      </c>
      <c r="E56" s="189"/>
      <c r="F56" s="10">
        <v>5.5000000000000003E-4</v>
      </c>
      <c r="G56" s="189"/>
      <c r="H56" s="10">
        <v>3.0000000000000001E-5</v>
      </c>
      <c r="I56" s="189"/>
      <c r="J56" s="10">
        <v>5.0000000000000001E-3</v>
      </c>
    </row>
    <row r="57" spans="1:10" x14ac:dyDescent="0.4">
      <c r="A57" s="10">
        <v>48</v>
      </c>
      <c r="B57" s="10">
        <v>6.9999999999999994E-5</v>
      </c>
      <c r="C57" s="189"/>
      <c r="D57" s="10">
        <v>6.9999999999999994E-5</v>
      </c>
      <c r="E57" s="189"/>
      <c r="F57" s="10">
        <v>4.8000000000000001E-4</v>
      </c>
      <c r="G57" s="189"/>
      <c r="H57" s="10">
        <v>3.0000000000000001E-5</v>
      </c>
      <c r="I57" s="189"/>
      <c r="J57" s="10">
        <v>5.0000000000000001E-3</v>
      </c>
    </row>
    <row r="58" spans="1:10" x14ac:dyDescent="0.4">
      <c r="A58" s="10">
        <v>49</v>
      </c>
      <c r="B58" s="10">
        <v>5.0000000000000002E-5</v>
      </c>
      <c r="C58" s="189"/>
      <c r="D58" s="10">
        <v>5.0000000000000002E-5</v>
      </c>
      <c r="E58" s="189"/>
      <c r="F58" s="10">
        <v>4.2000000000000002E-4</v>
      </c>
      <c r="G58" s="189"/>
      <c r="H58" s="10">
        <v>3.0000000000000001E-5</v>
      </c>
      <c r="I58" s="189"/>
      <c r="J58" s="10">
        <v>5.0000000000000001E-3</v>
      </c>
    </row>
    <row r="59" spans="1:10" x14ac:dyDescent="0.4">
      <c r="A59" s="10">
        <v>50</v>
      </c>
      <c r="B59" s="10">
        <v>4.0000000000000003E-5</v>
      </c>
      <c r="C59" s="189"/>
      <c r="D59" s="10">
        <v>4.0000000000000003E-5</v>
      </c>
      <c r="E59" s="189"/>
      <c r="F59" s="10">
        <v>3.8000000000000002E-4</v>
      </c>
      <c r="G59" s="189"/>
      <c r="H59" s="10">
        <v>3.0000000000000001E-5</v>
      </c>
      <c r="I59" s="189"/>
      <c r="J59" s="10">
        <v>5.0000000000000001E-3</v>
      </c>
    </row>
    <row r="60" spans="1:10" x14ac:dyDescent="0.4">
      <c r="A60" s="10">
        <v>51</v>
      </c>
      <c r="B60" s="10">
        <v>3.0000000000000001E-5</v>
      </c>
      <c r="C60" s="189"/>
      <c r="D60" s="10">
        <v>3.0000000000000001E-5</v>
      </c>
      <c r="E60" s="189"/>
      <c r="F60" s="10">
        <v>3.3E-4</v>
      </c>
      <c r="G60" s="189"/>
      <c r="H60" s="10">
        <v>3.0000000000000001E-5</v>
      </c>
      <c r="I60" s="189"/>
      <c r="J60" s="10">
        <v>5.0000000000000001E-3</v>
      </c>
    </row>
    <row r="61" spans="1:10" x14ac:dyDescent="0.4">
      <c r="A61" s="10">
        <v>52</v>
      </c>
      <c r="B61" s="10">
        <v>2.0000000000000002E-5</v>
      </c>
      <c r="C61" s="189"/>
      <c r="D61" s="10">
        <v>2.0000000000000002E-5</v>
      </c>
      <c r="E61" s="189"/>
      <c r="F61" s="10">
        <v>2.9999999999999997E-4</v>
      </c>
      <c r="G61" s="189"/>
      <c r="H61" s="10">
        <v>3.0000000000000001E-5</v>
      </c>
      <c r="I61" s="189"/>
      <c r="J61" s="10">
        <v>5.0000000000000001E-3</v>
      </c>
    </row>
    <row r="62" spans="1:10" x14ac:dyDescent="0.4">
      <c r="A62" s="10">
        <v>53</v>
      </c>
      <c r="B62" s="10">
        <v>2.0000000000000002E-5</v>
      </c>
      <c r="C62" s="189"/>
      <c r="D62" s="10">
        <v>2.0000000000000002E-5</v>
      </c>
      <c r="E62" s="189"/>
      <c r="F62" s="10">
        <v>2.5999999999999998E-4</v>
      </c>
      <c r="G62" s="189"/>
      <c r="H62" s="10">
        <v>3.0000000000000001E-5</v>
      </c>
      <c r="I62" s="189"/>
      <c r="J62" s="10">
        <v>5.0000000000000001E-3</v>
      </c>
    </row>
    <row r="63" spans="1:10" x14ac:dyDescent="0.4">
      <c r="A63" s="10">
        <v>54</v>
      </c>
      <c r="B63" s="10">
        <v>2.0000000000000002E-5</v>
      </c>
      <c r="C63" s="189"/>
      <c r="D63" s="10">
        <v>2.0000000000000002E-5</v>
      </c>
      <c r="E63" s="189"/>
      <c r="F63" s="10">
        <v>2.3000000000000001E-4</v>
      </c>
      <c r="G63" s="189"/>
      <c r="H63" s="10">
        <v>3.0000000000000001E-5</v>
      </c>
      <c r="I63" s="189"/>
      <c r="J63" s="10">
        <v>5.0000000000000001E-3</v>
      </c>
    </row>
    <row r="64" spans="1:10" x14ac:dyDescent="0.4">
      <c r="A64" s="10">
        <v>55</v>
      </c>
      <c r="B64" s="10">
        <v>1.0000000000000001E-5</v>
      </c>
      <c r="C64" s="189"/>
      <c r="D64" s="10">
        <v>1.0000000000000001E-5</v>
      </c>
      <c r="E64" s="189"/>
      <c r="F64" s="10">
        <v>2.1000000000000001E-4</v>
      </c>
      <c r="G64" s="189"/>
      <c r="H64" s="10">
        <v>3.0000000000000001E-5</v>
      </c>
      <c r="I64" s="189"/>
      <c r="J64" s="10">
        <v>5.0000000000000001E-3</v>
      </c>
    </row>
    <row r="65" spans="1:10" x14ac:dyDescent="0.4">
      <c r="A65" s="10">
        <v>56</v>
      </c>
      <c r="B65" s="10">
        <v>1.0000000000000001E-5</v>
      </c>
      <c r="C65" s="189"/>
      <c r="D65" s="10">
        <v>1.0000000000000001E-5</v>
      </c>
      <c r="E65" s="189"/>
      <c r="F65" s="10">
        <v>1.8000000000000001E-4</v>
      </c>
      <c r="G65" s="189"/>
      <c r="H65" s="10">
        <v>3.0000000000000001E-5</v>
      </c>
      <c r="I65" s="189"/>
      <c r="J65" s="10">
        <v>5.0000000000000001E-3</v>
      </c>
    </row>
    <row r="66" spans="1:10" x14ac:dyDescent="0.4">
      <c r="A66" s="10">
        <v>57</v>
      </c>
      <c r="B66" s="10">
        <v>1.0000000000000001E-5</v>
      </c>
      <c r="C66" s="189"/>
      <c r="D66" s="10">
        <v>1.0000000000000001E-5</v>
      </c>
      <c r="E66" s="189"/>
      <c r="F66" s="10">
        <v>1.6000000000000001E-4</v>
      </c>
      <c r="G66" s="189"/>
      <c r="H66" s="10">
        <v>3.0000000000000001E-5</v>
      </c>
      <c r="I66" s="189"/>
      <c r="J66" s="10">
        <v>5.0000000000000001E-3</v>
      </c>
    </row>
    <row r="67" spans="1:10" x14ac:dyDescent="0.4">
      <c r="A67" s="10">
        <v>58</v>
      </c>
      <c r="B67" s="10">
        <v>1.0000000000000001E-5</v>
      </c>
      <c r="C67" s="189"/>
      <c r="D67" s="10">
        <v>1.0000000000000001E-5</v>
      </c>
      <c r="E67" s="189"/>
      <c r="F67" s="10">
        <v>1.4999999999999999E-4</v>
      </c>
      <c r="G67" s="189"/>
      <c r="H67" s="10">
        <v>3.0000000000000001E-5</v>
      </c>
      <c r="I67" s="189"/>
      <c r="J67" s="10">
        <v>5.0000000000000001E-3</v>
      </c>
    </row>
    <row r="68" spans="1:10" x14ac:dyDescent="0.4">
      <c r="A68" s="10">
        <v>59</v>
      </c>
      <c r="B68" s="10">
        <v>1.0000000000000001E-5</v>
      </c>
      <c r="C68" s="189"/>
      <c r="D68" s="10">
        <v>1.0000000000000001E-5</v>
      </c>
      <c r="E68" s="189"/>
      <c r="F68" s="10">
        <v>1.2999999999999999E-4</v>
      </c>
      <c r="G68" s="189"/>
      <c r="H68" s="10">
        <v>3.0000000000000001E-5</v>
      </c>
      <c r="I68" s="189"/>
      <c r="J68" s="10">
        <v>5.0000000000000001E-3</v>
      </c>
    </row>
    <row r="69" spans="1:10" x14ac:dyDescent="0.4">
      <c r="A69" s="10">
        <v>60</v>
      </c>
      <c r="B69" s="10">
        <v>1.0000000000000001E-5</v>
      </c>
      <c r="C69" s="189"/>
      <c r="D69" s="10">
        <v>1.0000000000000001E-5</v>
      </c>
      <c r="E69" s="189"/>
      <c r="F69" s="10">
        <v>1.2E-4</v>
      </c>
      <c r="G69" s="189"/>
      <c r="H69" s="10">
        <v>3.0000000000000001E-5</v>
      </c>
      <c r="I69" s="189"/>
      <c r="J69" s="10">
        <v>5.0000000000000001E-3</v>
      </c>
    </row>
    <row r="70" spans="1:10" x14ac:dyDescent="0.4">
      <c r="A70" s="10">
        <v>61</v>
      </c>
      <c r="B70" s="10">
        <v>0</v>
      </c>
      <c r="C70" s="189"/>
      <c r="D70" s="10">
        <v>0</v>
      </c>
      <c r="E70" s="189"/>
      <c r="F70" s="10">
        <v>1E-4</v>
      </c>
      <c r="G70" s="189"/>
      <c r="H70" s="10">
        <v>3.0000000000000001E-5</v>
      </c>
      <c r="I70" s="189"/>
      <c r="J70" s="10">
        <v>5.0000000000000001E-3</v>
      </c>
    </row>
    <row r="71" spans="1:10" x14ac:dyDescent="0.4">
      <c r="A71" s="10">
        <v>62</v>
      </c>
      <c r="B71" s="10">
        <v>0</v>
      </c>
      <c r="C71" s="189"/>
      <c r="D71" s="10">
        <v>0</v>
      </c>
      <c r="E71" s="189"/>
      <c r="F71" s="10">
        <v>9.0000000000000006E-5</v>
      </c>
      <c r="G71" s="189"/>
      <c r="H71" s="10">
        <v>2.0000000000000002E-5</v>
      </c>
      <c r="I71" s="189"/>
      <c r="J71" s="10">
        <v>5.0000000000000001E-3</v>
      </c>
    </row>
    <row r="72" spans="1:10" x14ac:dyDescent="0.4">
      <c r="A72" s="10">
        <v>63</v>
      </c>
      <c r="B72" s="10">
        <v>0</v>
      </c>
      <c r="C72" s="189"/>
      <c r="D72" s="10">
        <v>0</v>
      </c>
      <c r="E72" s="189"/>
      <c r="F72" s="10">
        <v>8.0000000000000007E-5</v>
      </c>
      <c r="G72" s="189"/>
      <c r="H72" s="10">
        <v>2.0000000000000002E-5</v>
      </c>
      <c r="I72" s="189"/>
      <c r="J72" s="10">
        <v>5.0000000000000001E-3</v>
      </c>
    </row>
    <row r="73" spans="1:10" x14ac:dyDescent="0.4">
      <c r="A73" s="10">
        <v>64</v>
      </c>
      <c r="B73" s="10">
        <v>0</v>
      </c>
      <c r="C73" s="189"/>
      <c r="D73" s="10">
        <v>0</v>
      </c>
      <c r="E73" s="189"/>
      <c r="F73" s="10">
        <v>6.9999999999999994E-5</v>
      </c>
      <c r="G73" s="189"/>
      <c r="H73" s="10">
        <v>2.0000000000000002E-5</v>
      </c>
      <c r="I73" s="189"/>
      <c r="J73" s="10">
        <v>5.0000000000000001E-3</v>
      </c>
    </row>
    <row r="74" spans="1:10" x14ac:dyDescent="0.4">
      <c r="A74" s="10">
        <v>65</v>
      </c>
      <c r="B74" s="10">
        <v>0</v>
      </c>
      <c r="C74" s="189"/>
      <c r="D74" s="10">
        <v>0</v>
      </c>
      <c r="E74" s="189"/>
      <c r="F74" s="10">
        <v>6.9999999999999994E-5</v>
      </c>
      <c r="G74" s="189"/>
      <c r="H74" s="10">
        <v>2.0000000000000002E-5</v>
      </c>
      <c r="I74" s="189"/>
      <c r="J74" s="10">
        <v>5.0000000000000001E-3</v>
      </c>
    </row>
    <row r="75" spans="1:10" x14ac:dyDescent="0.4">
      <c r="A75" s="10">
        <v>66</v>
      </c>
      <c r="B75" s="10">
        <v>0</v>
      </c>
      <c r="C75" s="189"/>
      <c r="D75" s="10">
        <v>0</v>
      </c>
      <c r="E75" s="189"/>
      <c r="F75" s="10">
        <v>6.0000000000000002E-5</v>
      </c>
      <c r="G75" s="189"/>
      <c r="H75" s="10">
        <v>1.0000000000000001E-5</v>
      </c>
      <c r="I75" s="189"/>
      <c r="J75" s="10">
        <v>5.0000000000000001E-3</v>
      </c>
    </row>
    <row r="76" spans="1:10" x14ac:dyDescent="0.4">
      <c r="A76" s="10">
        <v>67</v>
      </c>
      <c r="B76" s="10">
        <v>0</v>
      </c>
      <c r="C76" s="189"/>
      <c r="D76" s="10">
        <v>0</v>
      </c>
      <c r="E76" s="189"/>
      <c r="F76" s="10">
        <v>5.0000000000000002E-5</v>
      </c>
      <c r="G76" s="189"/>
      <c r="H76" s="10">
        <v>1.0000000000000001E-5</v>
      </c>
      <c r="I76" s="189"/>
      <c r="J76" s="10">
        <v>5.0000000000000001E-3</v>
      </c>
    </row>
    <row r="77" spans="1:10" x14ac:dyDescent="0.4">
      <c r="A77" s="10">
        <v>68</v>
      </c>
      <c r="B77" s="10">
        <v>0</v>
      </c>
      <c r="C77" s="189"/>
      <c r="D77" s="10">
        <v>0</v>
      </c>
      <c r="E77" s="189"/>
      <c r="F77" s="10">
        <v>5.0000000000000002E-5</v>
      </c>
      <c r="G77" s="189"/>
      <c r="H77" s="10">
        <v>1.0000000000000001E-5</v>
      </c>
      <c r="I77" s="189"/>
      <c r="J77" s="10">
        <v>5.0000000000000001E-3</v>
      </c>
    </row>
    <row r="78" spans="1:10" x14ac:dyDescent="0.4">
      <c r="A78" s="10">
        <v>69</v>
      </c>
      <c r="B78" s="10">
        <v>0</v>
      </c>
      <c r="C78" s="189"/>
      <c r="D78" s="10">
        <v>0</v>
      </c>
      <c r="E78" s="189"/>
      <c r="F78" s="10">
        <v>4.0000000000000003E-5</v>
      </c>
      <c r="G78" s="189"/>
      <c r="H78" s="10">
        <v>1.0000000000000001E-5</v>
      </c>
      <c r="I78" s="189"/>
      <c r="J78" s="10">
        <v>5.0000000000000001E-3</v>
      </c>
    </row>
    <row r="79" spans="1:10" x14ac:dyDescent="0.4">
      <c r="A79" s="10">
        <v>70</v>
      </c>
      <c r="B79" s="10">
        <v>0</v>
      </c>
      <c r="C79" s="189"/>
      <c r="D79" s="10">
        <v>0</v>
      </c>
      <c r="E79" s="189"/>
      <c r="F79" s="10">
        <v>4.0000000000000003E-5</v>
      </c>
      <c r="G79" s="189"/>
      <c r="H79" s="10">
        <v>1.0000000000000001E-5</v>
      </c>
      <c r="I79" s="189"/>
      <c r="J79" s="10">
        <v>5.0000000000000001E-3</v>
      </c>
    </row>
    <row r="80" spans="1:10" x14ac:dyDescent="0.4">
      <c r="A80" s="10">
        <v>71</v>
      </c>
      <c r="B80" s="10">
        <v>0</v>
      </c>
      <c r="C80" s="189"/>
      <c r="D80" s="10">
        <v>0</v>
      </c>
      <c r="E80" s="189"/>
      <c r="F80" s="10">
        <v>3.0000000000000001E-5</v>
      </c>
      <c r="G80" s="189"/>
      <c r="H80" s="10">
        <v>1.0000000000000001E-5</v>
      </c>
      <c r="I80" s="189"/>
      <c r="J80" s="10">
        <v>5.0000000000000001E-3</v>
      </c>
    </row>
    <row r="81" spans="1:10" x14ac:dyDescent="0.4">
      <c r="A81" s="10">
        <v>72</v>
      </c>
      <c r="B81" s="10">
        <v>0</v>
      </c>
      <c r="C81" s="189"/>
      <c r="D81" s="10">
        <v>0</v>
      </c>
      <c r="E81" s="189"/>
      <c r="F81" s="10">
        <v>3.0000000000000001E-5</v>
      </c>
      <c r="G81" s="189"/>
      <c r="H81" s="10">
        <v>0</v>
      </c>
      <c r="I81" s="189"/>
      <c r="J81" s="10">
        <v>5.0000000000000001E-3</v>
      </c>
    </row>
    <row r="82" spans="1:10" x14ac:dyDescent="0.4">
      <c r="A82" s="10">
        <v>73</v>
      </c>
      <c r="B82" s="10">
        <v>0</v>
      </c>
      <c r="C82" s="189"/>
      <c r="D82" s="10">
        <v>0</v>
      </c>
      <c r="E82" s="189"/>
      <c r="F82" s="10">
        <v>3.0000000000000001E-5</v>
      </c>
      <c r="G82" s="189"/>
      <c r="H82" s="10">
        <v>0</v>
      </c>
      <c r="I82" s="189"/>
      <c r="J82" s="10">
        <v>5.0000000000000001E-3</v>
      </c>
    </row>
    <row r="83" spans="1:10" x14ac:dyDescent="0.4">
      <c r="A83" s="10">
        <v>74</v>
      </c>
      <c r="B83" s="10">
        <v>0</v>
      </c>
      <c r="C83" s="189"/>
      <c r="D83" s="10">
        <v>0</v>
      </c>
      <c r="E83" s="189"/>
      <c r="F83" s="10">
        <v>3.0000000000000001E-5</v>
      </c>
      <c r="G83" s="189"/>
      <c r="H83" s="10">
        <v>0</v>
      </c>
      <c r="I83" s="189"/>
      <c r="J83" s="10">
        <v>5.0000000000000001E-3</v>
      </c>
    </row>
    <row r="84" spans="1:10" x14ac:dyDescent="0.4">
      <c r="A84" s="10">
        <v>75</v>
      </c>
      <c r="B84" s="10">
        <v>0</v>
      </c>
      <c r="C84" s="189"/>
      <c r="D84" s="10">
        <v>0</v>
      </c>
      <c r="E84" s="189"/>
      <c r="F84" s="10">
        <v>2.0000000000000002E-5</v>
      </c>
      <c r="G84" s="189"/>
      <c r="H84" s="10">
        <v>0</v>
      </c>
      <c r="I84" s="189"/>
      <c r="J84" s="10">
        <v>5.0000000000000001E-3</v>
      </c>
    </row>
    <row r="85" spans="1:10" x14ac:dyDescent="0.4">
      <c r="A85" s="10">
        <v>76</v>
      </c>
      <c r="B85" s="10">
        <v>0</v>
      </c>
      <c r="C85" s="189"/>
      <c r="D85" s="10">
        <v>0</v>
      </c>
      <c r="E85" s="189"/>
      <c r="F85" s="10">
        <v>2.0000000000000002E-5</v>
      </c>
      <c r="G85" s="189"/>
      <c r="H85" s="10">
        <v>0</v>
      </c>
      <c r="I85" s="189"/>
      <c r="J85" s="10">
        <v>5.0000000000000001E-3</v>
      </c>
    </row>
    <row r="86" spans="1:10" x14ac:dyDescent="0.4">
      <c r="A86" s="10">
        <v>77</v>
      </c>
      <c r="B86" s="10">
        <v>0</v>
      </c>
      <c r="C86" s="189"/>
      <c r="D86" s="10">
        <v>0</v>
      </c>
      <c r="E86" s="189"/>
      <c r="F86" s="10">
        <v>2.0000000000000002E-5</v>
      </c>
      <c r="G86" s="189"/>
      <c r="H86" s="10">
        <v>0</v>
      </c>
      <c r="I86" s="189"/>
      <c r="J86" s="10">
        <v>5.0000000000000001E-3</v>
      </c>
    </row>
    <row r="87" spans="1:10" x14ac:dyDescent="0.4">
      <c r="A87" s="10">
        <v>78</v>
      </c>
      <c r="B87" s="10">
        <v>1.0000000000000001E-5</v>
      </c>
      <c r="C87" s="189"/>
      <c r="D87" s="10">
        <v>1.0000000000000001E-5</v>
      </c>
      <c r="E87" s="189"/>
      <c r="F87" s="10">
        <v>2.0000000000000002E-5</v>
      </c>
      <c r="G87" s="189"/>
      <c r="H87" s="10">
        <v>0</v>
      </c>
      <c r="I87" s="189"/>
      <c r="J87" s="10">
        <v>5.0000000000000001E-3</v>
      </c>
    </row>
    <row r="88" spans="1:10" x14ac:dyDescent="0.4">
      <c r="A88" s="10">
        <v>79</v>
      </c>
      <c r="B88" s="10">
        <v>1.0000000000000001E-5</v>
      </c>
      <c r="C88" s="189"/>
      <c r="D88" s="10">
        <v>1.0000000000000001E-5</v>
      </c>
      <c r="E88" s="189"/>
      <c r="F88" s="10">
        <v>2.0000000000000002E-5</v>
      </c>
      <c r="G88" s="189"/>
      <c r="H88" s="10">
        <v>0</v>
      </c>
      <c r="I88" s="189"/>
      <c r="J88" s="10">
        <v>5.0000000000000001E-3</v>
      </c>
    </row>
    <row r="89" spans="1:10" x14ac:dyDescent="0.4">
      <c r="A89" s="10">
        <v>80</v>
      </c>
      <c r="B89" s="10">
        <v>1.0000000000000001E-5</v>
      </c>
      <c r="C89" s="189"/>
      <c r="D89" s="10">
        <v>1.0000000000000001E-5</v>
      </c>
      <c r="E89" s="189"/>
      <c r="F89" s="10">
        <v>2.0000000000000002E-5</v>
      </c>
      <c r="G89" s="189"/>
      <c r="H89" s="10">
        <v>0</v>
      </c>
      <c r="I89" s="189"/>
      <c r="J89" s="10">
        <v>5.0000000000000001E-3</v>
      </c>
    </row>
    <row r="90" spans="1:10" x14ac:dyDescent="0.4">
      <c r="A90" s="10">
        <v>81</v>
      </c>
      <c r="B90" s="10">
        <v>1.0000000000000001E-5</v>
      </c>
      <c r="C90" s="189"/>
      <c r="D90" s="10">
        <v>1.0000000000000001E-5</v>
      </c>
      <c r="E90" s="189"/>
      <c r="F90" s="10">
        <v>2.0000000000000002E-5</v>
      </c>
      <c r="G90" s="189"/>
      <c r="H90" s="10">
        <v>0</v>
      </c>
      <c r="I90" s="189"/>
      <c r="J90" s="10">
        <v>5.0000000000000001E-3</v>
      </c>
    </row>
    <row r="91" spans="1:10" x14ac:dyDescent="0.4">
      <c r="A91" s="10">
        <v>82</v>
      </c>
      <c r="B91" s="10">
        <v>1.0000000000000001E-5</v>
      </c>
      <c r="C91" s="189"/>
      <c r="D91" s="10">
        <v>1.0000000000000001E-5</v>
      </c>
      <c r="E91" s="189"/>
      <c r="F91" s="10">
        <v>2.0000000000000002E-5</v>
      </c>
      <c r="G91" s="189"/>
      <c r="H91" s="10">
        <v>0</v>
      </c>
      <c r="I91" s="189"/>
      <c r="J91" s="10">
        <v>5.0000000000000001E-3</v>
      </c>
    </row>
    <row r="92" spans="1:10" x14ac:dyDescent="0.4">
      <c r="A92" s="10">
        <v>83</v>
      </c>
      <c r="B92" s="10">
        <v>1.0000000000000001E-5</v>
      </c>
      <c r="C92" s="189"/>
      <c r="D92" s="10">
        <v>1.0000000000000001E-5</v>
      </c>
      <c r="E92" s="189"/>
      <c r="F92" s="10">
        <v>2.0000000000000002E-5</v>
      </c>
      <c r="G92" s="189"/>
      <c r="H92" s="10">
        <v>0</v>
      </c>
      <c r="I92" s="189"/>
      <c r="J92" s="10">
        <v>5.0000000000000001E-3</v>
      </c>
    </row>
    <row r="93" spans="1:10" x14ac:dyDescent="0.4">
      <c r="A93" s="10">
        <v>84</v>
      </c>
      <c r="B93" s="10">
        <v>2.0000000000000002E-5</v>
      </c>
      <c r="C93" s="189"/>
      <c r="D93" s="10">
        <v>2.0000000000000002E-5</v>
      </c>
      <c r="E93" s="189"/>
      <c r="F93" s="10">
        <v>2.0000000000000002E-5</v>
      </c>
      <c r="G93" s="189"/>
      <c r="H93" s="10">
        <v>0</v>
      </c>
      <c r="I93" s="189"/>
      <c r="J93" s="10">
        <v>5.0000000000000001E-3</v>
      </c>
    </row>
    <row r="94" spans="1:10" x14ac:dyDescent="0.4">
      <c r="A94" s="10">
        <v>85</v>
      </c>
      <c r="B94" s="10">
        <v>2.0000000000000002E-5</v>
      </c>
      <c r="C94" s="189"/>
      <c r="D94" s="10">
        <v>2.0000000000000002E-5</v>
      </c>
      <c r="E94" s="189"/>
      <c r="F94" s="10">
        <v>2.0000000000000002E-5</v>
      </c>
      <c r="G94" s="189"/>
      <c r="H94" s="10">
        <v>0</v>
      </c>
      <c r="I94" s="189"/>
      <c r="J94" s="10">
        <v>5.0000000000000001E-3</v>
      </c>
    </row>
    <row r="95" spans="1:10" x14ac:dyDescent="0.4">
      <c r="A95" s="10">
        <v>86</v>
      </c>
      <c r="B95" s="10">
        <v>3.0000000000000001E-5</v>
      </c>
      <c r="C95" s="189"/>
      <c r="D95" s="10">
        <v>3.0000000000000001E-5</v>
      </c>
      <c r="E95" s="189"/>
      <c r="F95" s="10">
        <v>2.0000000000000002E-5</v>
      </c>
      <c r="G95" s="189"/>
      <c r="H95" s="10">
        <v>0</v>
      </c>
      <c r="I95" s="189"/>
      <c r="J95" s="10">
        <v>5.0000000000000001E-3</v>
      </c>
    </row>
    <row r="96" spans="1:10" x14ac:dyDescent="0.4">
      <c r="A96" s="10">
        <v>87</v>
      </c>
      <c r="B96" s="10">
        <v>3.0000000000000001E-5</v>
      </c>
      <c r="C96" s="189"/>
      <c r="D96" s="10">
        <v>3.0000000000000001E-5</v>
      </c>
      <c r="E96" s="189"/>
      <c r="F96" s="10">
        <v>2.0000000000000002E-5</v>
      </c>
      <c r="G96" s="189"/>
      <c r="H96" s="10">
        <v>0</v>
      </c>
      <c r="I96" s="189"/>
      <c r="J96" s="10">
        <v>5.0000000000000001E-3</v>
      </c>
    </row>
    <row r="97" spans="1:10" x14ac:dyDescent="0.4">
      <c r="A97" s="10">
        <v>88</v>
      </c>
      <c r="B97" s="10">
        <v>4.0000000000000003E-5</v>
      </c>
      <c r="C97" s="189"/>
      <c r="D97" s="10">
        <v>4.0000000000000003E-5</v>
      </c>
      <c r="E97" s="189"/>
      <c r="F97" s="10">
        <v>2.0000000000000002E-5</v>
      </c>
      <c r="G97" s="189"/>
      <c r="H97" s="10">
        <v>0</v>
      </c>
      <c r="I97" s="189"/>
      <c r="J97" s="10">
        <v>5.0000000000000001E-3</v>
      </c>
    </row>
    <row r="98" spans="1:10" x14ac:dyDescent="0.4">
      <c r="A98" s="10">
        <v>89</v>
      </c>
      <c r="B98" s="10">
        <v>4.0000000000000003E-5</v>
      </c>
      <c r="C98" s="189"/>
      <c r="D98" s="10">
        <v>4.0000000000000003E-5</v>
      </c>
      <c r="E98" s="189"/>
      <c r="F98" s="10">
        <v>2.0000000000000002E-5</v>
      </c>
      <c r="G98" s="189"/>
      <c r="H98" s="10">
        <v>0</v>
      </c>
      <c r="I98" s="189"/>
      <c r="J98" s="10">
        <v>5.0000000000000001E-3</v>
      </c>
    </row>
    <row r="99" spans="1:10" x14ac:dyDescent="0.4">
      <c r="A99" s="10">
        <v>90</v>
      </c>
      <c r="B99" s="10">
        <v>5.0000000000000002E-5</v>
      </c>
      <c r="C99" s="189"/>
      <c r="D99" s="10">
        <v>5.0000000000000002E-5</v>
      </c>
      <c r="E99" s="189"/>
      <c r="F99" s="10">
        <v>2.0000000000000002E-5</v>
      </c>
      <c r="G99" s="189"/>
      <c r="H99" s="10">
        <v>0</v>
      </c>
      <c r="I99" s="189"/>
      <c r="J99" s="10">
        <v>5.0000000000000001E-3</v>
      </c>
    </row>
    <row r="100" spans="1:10" x14ac:dyDescent="0.4">
      <c r="A100" s="10">
        <v>91</v>
      </c>
      <c r="B100" s="10">
        <v>6.0000000000000002E-5</v>
      </c>
      <c r="C100" s="189"/>
      <c r="D100" s="10">
        <v>6.0000000000000002E-5</v>
      </c>
      <c r="E100" s="189"/>
      <c r="F100" s="10">
        <v>2.0000000000000002E-5</v>
      </c>
      <c r="G100" s="189"/>
      <c r="H100" s="10">
        <v>0</v>
      </c>
      <c r="I100" s="189"/>
      <c r="J100" s="10">
        <v>5.0000000000000001E-3</v>
      </c>
    </row>
    <row r="101" spans="1:10" x14ac:dyDescent="0.4">
      <c r="A101" s="10">
        <v>92</v>
      </c>
      <c r="B101" s="10">
        <v>6.9999999999999994E-5</v>
      </c>
      <c r="C101" s="189"/>
      <c r="D101" s="10">
        <v>6.9999999999999994E-5</v>
      </c>
      <c r="E101" s="189"/>
      <c r="F101" s="10">
        <v>2.0000000000000002E-5</v>
      </c>
      <c r="G101" s="189"/>
      <c r="H101" s="10">
        <v>0</v>
      </c>
      <c r="I101" s="189"/>
      <c r="J101" s="10">
        <v>5.0000000000000001E-3</v>
      </c>
    </row>
    <row r="102" spans="1:10" x14ac:dyDescent="0.4">
      <c r="A102" s="10">
        <v>93</v>
      </c>
      <c r="B102" s="10">
        <v>9.0000000000000006E-5</v>
      </c>
      <c r="C102" s="189"/>
      <c r="D102" s="10">
        <v>9.0000000000000006E-5</v>
      </c>
      <c r="E102" s="189"/>
      <c r="F102" s="10">
        <v>2.0000000000000002E-5</v>
      </c>
      <c r="G102" s="189"/>
      <c r="H102" s="10">
        <v>0</v>
      </c>
      <c r="I102" s="189"/>
      <c r="J102" s="10">
        <v>5.0000000000000001E-3</v>
      </c>
    </row>
    <row r="103" spans="1:10" x14ac:dyDescent="0.4">
      <c r="A103" s="10">
        <v>94</v>
      </c>
      <c r="B103" s="10">
        <v>1E-4</v>
      </c>
      <c r="C103" s="189"/>
      <c r="D103" s="10">
        <v>1E-4</v>
      </c>
      <c r="E103" s="189"/>
      <c r="F103" s="10">
        <v>2.0000000000000002E-5</v>
      </c>
      <c r="G103" s="189"/>
      <c r="H103" s="10">
        <v>0</v>
      </c>
      <c r="I103" s="189"/>
      <c r="J103" s="10">
        <v>5.0000000000000001E-3</v>
      </c>
    </row>
    <row r="104" spans="1:10" x14ac:dyDescent="0.4">
      <c r="A104" s="10">
        <v>95</v>
      </c>
      <c r="B104" s="10">
        <v>1.2E-4</v>
      </c>
      <c r="C104" s="189"/>
      <c r="D104" s="10">
        <v>1.2E-4</v>
      </c>
      <c r="E104" s="189"/>
      <c r="F104" s="10">
        <v>2.0000000000000002E-5</v>
      </c>
      <c r="G104" s="189"/>
      <c r="H104" s="10">
        <v>0</v>
      </c>
      <c r="I104" s="189"/>
      <c r="J104" s="10">
        <v>5.0000000000000001E-3</v>
      </c>
    </row>
    <row r="105" spans="1:10" x14ac:dyDescent="0.4">
      <c r="A105" s="10">
        <v>96</v>
      </c>
      <c r="B105" s="10">
        <v>1.3999999999999999E-4</v>
      </c>
      <c r="C105" s="189"/>
      <c r="D105" s="10">
        <v>1.3999999999999999E-4</v>
      </c>
      <c r="E105" s="189"/>
      <c r="F105" s="10">
        <v>2.0000000000000002E-5</v>
      </c>
      <c r="G105" s="189"/>
      <c r="H105" s="10">
        <v>0</v>
      </c>
      <c r="I105" s="189"/>
      <c r="J105" s="10">
        <v>5.0000000000000001E-3</v>
      </c>
    </row>
    <row r="106" spans="1:10" x14ac:dyDescent="0.4">
      <c r="A106" s="10">
        <v>97</v>
      </c>
      <c r="B106" s="10">
        <v>1.6000000000000001E-4</v>
      </c>
      <c r="C106" s="189"/>
      <c r="D106" s="10">
        <v>1.6000000000000001E-4</v>
      </c>
      <c r="E106" s="189"/>
      <c r="F106" s="10">
        <v>2.0000000000000002E-5</v>
      </c>
      <c r="G106" s="189"/>
      <c r="H106" s="10">
        <v>0</v>
      </c>
      <c r="I106" s="189"/>
      <c r="J106" s="10">
        <v>5.0000000000000001E-3</v>
      </c>
    </row>
    <row r="107" spans="1:10" x14ac:dyDescent="0.4">
      <c r="A107" s="10">
        <v>98</v>
      </c>
      <c r="B107" s="10">
        <v>1.8000000000000001E-4</v>
      </c>
      <c r="C107" s="189"/>
      <c r="D107" s="10">
        <v>1.8000000000000001E-4</v>
      </c>
      <c r="E107" s="189"/>
      <c r="F107" s="10">
        <v>2.0000000000000002E-5</v>
      </c>
      <c r="G107" s="189"/>
      <c r="H107" s="10">
        <v>0</v>
      </c>
      <c r="I107" s="189"/>
      <c r="J107" s="10">
        <v>5.0000000000000001E-3</v>
      </c>
    </row>
    <row r="108" spans="1:10" x14ac:dyDescent="0.4">
      <c r="A108" s="10">
        <v>99</v>
      </c>
      <c r="B108" s="10">
        <v>2.0000000000000001E-4</v>
      </c>
      <c r="C108" s="189"/>
      <c r="D108" s="10">
        <v>2.0000000000000001E-4</v>
      </c>
      <c r="E108" s="189"/>
      <c r="F108" s="10">
        <v>1.0000000000000001E-5</v>
      </c>
      <c r="G108" s="189"/>
      <c r="H108" s="10">
        <v>0</v>
      </c>
      <c r="I108" s="189"/>
      <c r="J108" s="10">
        <v>5.0000000000000001E-3</v>
      </c>
    </row>
    <row r="109" spans="1:10" x14ac:dyDescent="0.4">
      <c r="A109" s="10">
        <v>100</v>
      </c>
      <c r="B109" s="10">
        <v>2.1000000000000001E-4</v>
      </c>
      <c r="C109" s="189"/>
      <c r="D109" s="10">
        <v>2.1000000000000001E-4</v>
      </c>
      <c r="E109" s="189"/>
      <c r="F109" s="10">
        <v>2.0000000000000002E-5</v>
      </c>
      <c r="G109" s="189"/>
      <c r="H109" s="10">
        <v>0</v>
      </c>
      <c r="I109" s="189"/>
      <c r="J109" s="10">
        <v>5.0000000000000001E-3</v>
      </c>
    </row>
    <row r="110" spans="1:10" x14ac:dyDescent="0.4">
      <c r="A110" s="10">
        <v>101</v>
      </c>
      <c r="B110" s="10">
        <v>2.2000000000000001E-4</v>
      </c>
      <c r="C110" s="189"/>
      <c r="D110" s="10">
        <v>2.2000000000000001E-4</v>
      </c>
      <c r="E110" s="189"/>
      <c r="F110" s="10">
        <v>2.0000000000000002E-5</v>
      </c>
      <c r="G110" s="189"/>
      <c r="H110" s="10">
        <v>0</v>
      </c>
      <c r="I110" s="189"/>
      <c r="J110" s="10">
        <v>5.0000000000000001E-3</v>
      </c>
    </row>
    <row r="111" spans="1:10" x14ac:dyDescent="0.4">
      <c r="A111" s="10">
        <v>102</v>
      </c>
      <c r="B111" s="10">
        <v>2.2000000000000001E-4</v>
      </c>
      <c r="C111" s="189"/>
      <c r="D111" s="10">
        <v>2.2000000000000001E-4</v>
      </c>
      <c r="E111" s="189"/>
      <c r="F111" s="10">
        <v>2.0000000000000002E-5</v>
      </c>
      <c r="G111" s="189"/>
      <c r="H111" s="10">
        <v>0</v>
      </c>
      <c r="I111" s="189"/>
      <c r="J111" s="10">
        <v>5.0000000000000001E-3</v>
      </c>
    </row>
    <row r="112" spans="1:10" x14ac:dyDescent="0.4">
      <c r="A112" s="10">
        <v>103</v>
      </c>
      <c r="B112" s="10">
        <v>2.2000000000000001E-4</v>
      </c>
      <c r="C112" s="189"/>
      <c r="D112" s="10">
        <v>2.2000000000000001E-4</v>
      </c>
      <c r="E112" s="189"/>
      <c r="F112" s="10">
        <v>2.0000000000000002E-5</v>
      </c>
      <c r="G112" s="189"/>
      <c r="H112" s="10">
        <v>0</v>
      </c>
      <c r="I112" s="189"/>
      <c r="J112" s="10">
        <v>5.0000000000000001E-3</v>
      </c>
    </row>
    <row r="113" spans="1:10" x14ac:dyDescent="0.4">
      <c r="A113" s="10">
        <v>104</v>
      </c>
      <c r="B113" s="10">
        <v>2.1000000000000001E-4</v>
      </c>
      <c r="C113" s="189"/>
      <c r="D113" s="10">
        <v>2.1000000000000001E-4</v>
      </c>
      <c r="E113" s="189"/>
      <c r="F113" s="10">
        <v>2.0000000000000002E-5</v>
      </c>
      <c r="G113" s="189"/>
      <c r="H113" s="10">
        <v>0</v>
      </c>
      <c r="I113" s="189"/>
      <c r="J113" s="10">
        <v>5.0000000000000001E-3</v>
      </c>
    </row>
    <row r="114" spans="1:10" x14ac:dyDescent="0.4">
      <c r="A114" s="10">
        <v>105</v>
      </c>
      <c r="B114" s="10">
        <v>2.0000000000000001E-4</v>
      </c>
      <c r="C114" s="189"/>
      <c r="D114" s="10">
        <v>2.0000000000000001E-4</v>
      </c>
      <c r="E114" s="189"/>
      <c r="F114" s="10">
        <v>1.0000000000000001E-5</v>
      </c>
      <c r="G114" s="189"/>
      <c r="H114" s="10">
        <v>0</v>
      </c>
      <c r="I114" s="189"/>
      <c r="J114" s="10">
        <v>5.0000000000000001E-3</v>
      </c>
    </row>
    <row r="115" spans="1:10" x14ac:dyDescent="0.4">
      <c r="A115" s="10">
        <v>106</v>
      </c>
      <c r="B115" s="10">
        <v>1.9000000000000001E-4</v>
      </c>
      <c r="C115" s="189"/>
      <c r="D115" s="10">
        <v>1.9000000000000001E-4</v>
      </c>
      <c r="E115" s="189"/>
      <c r="F115" s="10">
        <v>1.0000000000000001E-5</v>
      </c>
      <c r="G115" s="189"/>
      <c r="H115" s="10">
        <v>0</v>
      </c>
      <c r="I115" s="189"/>
      <c r="J115" s="10">
        <v>5.0000000000000001E-3</v>
      </c>
    </row>
    <row r="116" spans="1:10" x14ac:dyDescent="0.4">
      <c r="A116" s="10">
        <v>107</v>
      </c>
      <c r="B116" s="10">
        <v>1.7000000000000001E-4</v>
      </c>
      <c r="C116" s="189"/>
      <c r="D116" s="10">
        <v>1.7000000000000001E-4</v>
      </c>
      <c r="E116" s="189"/>
      <c r="F116" s="10">
        <v>2.0000000000000002E-5</v>
      </c>
      <c r="G116" s="189"/>
      <c r="H116" s="10">
        <v>0</v>
      </c>
      <c r="I116" s="189"/>
      <c r="J116" s="10">
        <v>5.0000000000000001E-3</v>
      </c>
    </row>
    <row r="117" spans="1:10" x14ac:dyDescent="0.4">
      <c r="A117" s="10">
        <v>108</v>
      </c>
      <c r="B117" s="10">
        <v>1.3999999999999999E-4</v>
      </c>
      <c r="C117" s="189"/>
      <c r="D117" s="10">
        <v>1.3999999999999999E-4</v>
      </c>
      <c r="E117" s="189"/>
      <c r="F117" s="10">
        <v>2.0000000000000002E-5</v>
      </c>
      <c r="G117" s="189"/>
      <c r="H117" s="10">
        <v>0</v>
      </c>
      <c r="I117" s="189"/>
      <c r="J117" s="10">
        <v>5.0000000000000001E-3</v>
      </c>
    </row>
    <row r="118" spans="1:10" x14ac:dyDescent="0.4">
      <c r="A118" s="10">
        <v>109</v>
      </c>
      <c r="B118" s="10">
        <v>1.2E-4</v>
      </c>
      <c r="C118" s="189"/>
      <c r="D118" s="10">
        <v>1.2E-4</v>
      </c>
      <c r="E118" s="189"/>
      <c r="F118" s="10">
        <v>2.0000000000000002E-5</v>
      </c>
      <c r="G118" s="189"/>
      <c r="H118" s="10">
        <v>0</v>
      </c>
      <c r="I118" s="189"/>
      <c r="J118" s="10">
        <v>5.0000000000000001E-3</v>
      </c>
    </row>
    <row r="119" spans="1:10" x14ac:dyDescent="0.4">
      <c r="A119" s="10">
        <v>110</v>
      </c>
      <c r="B119" s="10">
        <v>1E-4</v>
      </c>
      <c r="C119" s="189"/>
      <c r="D119" s="10">
        <v>1E-4</v>
      </c>
      <c r="E119" s="189"/>
      <c r="F119" s="10">
        <v>2.0000000000000002E-5</v>
      </c>
      <c r="G119" s="189"/>
      <c r="H119" s="10">
        <v>0</v>
      </c>
      <c r="I119" s="189"/>
      <c r="J119" s="10">
        <v>5.0000000000000001E-3</v>
      </c>
    </row>
    <row r="120" spans="1:10" x14ac:dyDescent="0.4">
      <c r="A120" s="10">
        <v>111</v>
      </c>
      <c r="B120" s="10">
        <v>9.0000000000000006E-5</v>
      </c>
      <c r="C120" s="189"/>
      <c r="D120" s="10">
        <v>9.0000000000000006E-5</v>
      </c>
      <c r="E120" s="189"/>
      <c r="F120" s="10">
        <v>2.0000000000000002E-5</v>
      </c>
      <c r="G120" s="189"/>
      <c r="H120" s="10">
        <v>0</v>
      </c>
      <c r="I120" s="189"/>
      <c r="J120" s="10">
        <v>5.0000000000000001E-3</v>
      </c>
    </row>
    <row r="121" spans="1:10" x14ac:dyDescent="0.4">
      <c r="A121" s="10">
        <v>112</v>
      </c>
      <c r="B121" s="10">
        <v>6.9999999999999994E-5</v>
      </c>
      <c r="C121" s="189"/>
      <c r="D121" s="10">
        <v>6.9999999999999994E-5</v>
      </c>
      <c r="E121" s="189"/>
      <c r="F121" s="10">
        <v>2.0000000000000002E-5</v>
      </c>
      <c r="G121" s="189"/>
      <c r="H121" s="10">
        <v>0</v>
      </c>
      <c r="I121" s="189"/>
      <c r="J121" s="10">
        <v>5.0000000000000001E-3</v>
      </c>
    </row>
    <row r="122" spans="1:10" x14ac:dyDescent="0.4">
      <c r="A122" s="10">
        <v>113</v>
      </c>
      <c r="B122" s="10">
        <v>6.0000000000000002E-5</v>
      </c>
      <c r="C122" s="189"/>
      <c r="D122" s="10">
        <v>6.0000000000000002E-5</v>
      </c>
      <c r="E122" s="189"/>
      <c r="F122" s="10">
        <v>1.0000000000000001E-5</v>
      </c>
      <c r="G122" s="189"/>
      <c r="H122" s="10">
        <v>0</v>
      </c>
      <c r="I122" s="189"/>
      <c r="J122" s="10">
        <v>5.0000000000000001E-3</v>
      </c>
    </row>
    <row r="123" spans="1:10" x14ac:dyDescent="0.4">
      <c r="A123" s="10">
        <v>114</v>
      </c>
      <c r="B123" s="10">
        <v>5.0000000000000002E-5</v>
      </c>
      <c r="C123" s="189"/>
      <c r="D123" s="10">
        <v>5.0000000000000002E-5</v>
      </c>
      <c r="E123" s="189"/>
      <c r="F123" s="10">
        <v>1.0000000000000001E-5</v>
      </c>
      <c r="G123" s="189"/>
      <c r="H123" s="10">
        <v>0</v>
      </c>
      <c r="I123" s="189"/>
      <c r="J123" s="10">
        <v>5.0000000000000001E-3</v>
      </c>
    </row>
    <row r="124" spans="1:10" x14ac:dyDescent="0.4">
      <c r="A124" s="10">
        <v>115</v>
      </c>
      <c r="B124" s="10">
        <v>4.0000000000000003E-5</v>
      </c>
      <c r="C124" s="189"/>
      <c r="D124" s="10">
        <v>4.0000000000000003E-5</v>
      </c>
      <c r="E124" s="189"/>
      <c r="F124" s="10">
        <v>1.0000000000000001E-5</v>
      </c>
      <c r="G124" s="189"/>
      <c r="H124" s="10">
        <v>0</v>
      </c>
      <c r="I124" s="189"/>
      <c r="J124" s="10">
        <v>5.0000000000000001E-3</v>
      </c>
    </row>
    <row r="125" spans="1:10" x14ac:dyDescent="0.4">
      <c r="A125" s="10">
        <v>116</v>
      </c>
      <c r="B125" s="10">
        <v>3.0000000000000001E-5</v>
      </c>
      <c r="C125" s="189"/>
      <c r="D125" s="10">
        <v>3.0000000000000001E-5</v>
      </c>
      <c r="E125" s="189"/>
      <c r="F125" s="10">
        <v>1.0000000000000001E-5</v>
      </c>
      <c r="G125" s="189"/>
      <c r="H125" s="10">
        <v>0</v>
      </c>
      <c r="I125" s="189"/>
      <c r="J125" s="10">
        <v>5.0000000000000001E-3</v>
      </c>
    </row>
    <row r="126" spans="1:10" x14ac:dyDescent="0.4">
      <c r="A126" s="10">
        <v>117</v>
      </c>
      <c r="B126" s="10">
        <v>2.0000000000000002E-5</v>
      </c>
      <c r="C126" s="189"/>
      <c r="D126" s="10">
        <v>2.0000000000000002E-5</v>
      </c>
      <c r="E126" s="189"/>
      <c r="F126" s="10">
        <v>1.0000000000000001E-5</v>
      </c>
      <c r="G126" s="189"/>
      <c r="H126" s="10">
        <v>0</v>
      </c>
      <c r="I126" s="189"/>
      <c r="J126" s="10">
        <v>5.0000000000000001E-3</v>
      </c>
    </row>
    <row r="127" spans="1:10" x14ac:dyDescent="0.4">
      <c r="A127" s="10">
        <v>118</v>
      </c>
      <c r="B127" s="10">
        <v>1.0000000000000001E-5</v>
      </c>
      <c r="C127" s="189"/>
      <c r="D127" s="10">
        <v>1.0000000000000001E-5</v>
      </c>
      <c r="E127" s="189"/>
      <c r="F127" s="10">
        <v>1.0000000000000001E-5</v>
      </c>
      <c r="G127" s="189"/>
      <c r="H127" s="10">
        <v>0</v>
      </c>
      <c r="I127" s="189"/>
      <c r="J127" s="10">
        <v>5.0000000000000001E-3</v>
      </c>
    </row>
    <row r="128" spans="1:10" x14ac:dyDescent="0.4">
      <c r="A128" s="10">
        <v>119</v>
      </c>
      <c r="B128" s="10">
        <v>1.0000000000000001E-5</v>
      </c>
      <c r="C128" s="189"/>
      <c r="D128" s="10">
        <v>1.0000000000000001E-5</v>
      </c>
      <c r="E128" s="189"/>
      <c r="F128" s="10">
        <v>1.0000000000000001E-5</v>
      </c>
      <c r="G128" s="189"/>
      <c r="H128" s="10">
        <v>0</v>
      </c>
      <c r="I128" s="189"/>
      <c r="J128" s="10">
        <v>5.0000000000000001E-3</v>
      </c>
    </row>
    <row r="129" spans="1:10" x14ac:dyDescent="0.4">
      <c r="A129" s="10">
        <v>120</v>
      </c>
      <c r="B129" s="10">
        <v>1.0000000000000001E-5</v>
      </c>
      <c r="C129" s="189"/>
      <c r="D129" s="10">
        <v>1.0000000000000001E-5</v>
      </c>
      <c r="E129" s="189"/>
      <c r="F129" s="10">
        <v>1.0000000000000001E-5</v>
      </c>
      <c r="G129" s="189"/>
      <c r="H129" s="10">
        <v>0</v>
      </c>
      <c r="I129" s="189"/>
      <c r="J129" s="10">
        <v>5.0000000000000001E-3</v>
      </c>
    </row>
    <row r="130" spans="1:10" x14ac:dyDescent="0.4">
      <c r="A130" s="10">
        <v>121</v>
      </c>
      <c r="B130" s="10">
        <v>0</v>
      </c>
      <c r="C130" s="189"/>
      <c r="D130" s="10">
        <v>0</v>
      </c>
      <c r="E130" s="189"/>
      <c r="F130" s="10">
        <v>1.0000000000000001E-5</v>
      </c>
      <c r="G130" s="189"/>
      <c r="H130" s="10">
        <v>0</v>
      </c>
      <c r="I130" s="189"/>
      <c r="J130" s="10">
        <v>5.0000000000000001E-3</v>
      </c>
    </row>
    <row r="131" spans="1:10" x14ac:dyDescent="0.4">
      <c r="A131" s="10">
        <v>122</v>
      </c>
      <c r="B131" s="10">
        <v>0</v>
      </c>
      <c r="C131" s="189"/>
      <c r="D131" s="10">
        <v>0</v>
      </c>
      <c r="E131" s="189"/>
      <c r="F131" s="10">
        <v>1.0000000000000001E-5</v>
      </c>
      <c r="G131" s="189"/>
      <c r="H131" s="10">
        <v>0</v>
      </c>
      <c r="I131" s="189"/>
      <c r="J131" s="10">
        <v>5.0000000000000001E-3</v>
      </c>
    </row>
    <row r="132" spans="1:10" x14ac:dyDescent="0.4">
      <c r="A132" s="10">
        <v>123</v>
      </c>
      <c r="B132" s="10">
        <v>0</v>
      </c>
      <c r="C132" s="189"/>
      <c r="D132" s="10">
        <v>0</v>
      </c>
      <c r="E132" s="189"/>
      <c r="F132" s="10">
        <v>1.0000000000000001E-5</v>
      </c>
      <c r="G132" s="189"/>
      <c r="H132" s="10">
        <v>0</v>
      </c>
      <c r="I132" s="189"/>
      <c r="J132" s="10">
        <v>5.0000000000000001E-3</v>
      </c>
    </row>
    <row r="133" spans="1:10" x14ac:dyDescent="0.4">
      <c r="A133" s="10">
        <v>124</v>
      </c>
      <c r="B133" s="10">
        <v>0</v>
      </c>
      <c r="C133" s="189"/>
      <c r="D133" s="10">
        <v>0</v>
      </c>
      <c r="E133" s="189"/>
      <c r="F133" s="10">
        <v>1.0000000000000001E-5</v>
      </c>
      <c r="G133" s="189"/>
      <c r="H133" s="10">
        <v>0</v>
      </c>
      <c r="I133" s="189"/>
      <c r="J133" s="10">
        <v>5.0000000000000001E-3</v>
      </c>
    </row>
    <row r="134" spans="1:10" x14ac:dyDescent="0.4">
      <c r="A134" s="10">
        <v>125</v>
      </c>
      <c r="B134" s="10">
        <v>0</v>
      </c>
      <c r="C134" s="189"/>
      <c r="D134" s="10">
        <v>0</v>
      </c>
      <c r="E134" s="189"/>
      <c r="F134" s="10">
        <v>1.0000000000000001E-5</v>
      </c>
      <c r="G134" s="189"/>
      <c r="H134" s="10">
        <v>0</v>
      </c>
      <c r="I134" s="189"/>
      <c r="J134" s="10">
        <v>5.0000000000000001E-3</v>
      </c>
    </row>
    <row r="135" spans="1:10" x14ac:dyDescent="0.4">
      <c r="A135" s="10">
        <v>126</v>
      </c>
      <c r="B135" s="10">
        <v>0</v>
      </c>
      <c r="C135" s="189"/>
      <c r="D135" s="10">
        <v>0</v>
      </c>
      <c r="E135" s="189"/>
      <c r="F135" s="10">
        <v>1.0000000000000001E-5</v>
      </c>
      <c r="G135" s="189"/>
      <c r="H135" s="10">
        <v>0</v>
      </c>
      <c r="I135" s="189"/>
      <c r="J135" s="10">
        <v>5.0000000000000001E-3</v>
      </c>
    </row>
    <row r="136" spans="1:10" x14ac:dyDescent="0.4">
      <c r="A136" s="10">
        <v>127</v>
      </c>
      <c r="B136" s="10">
        <v>0</v>
      </c>
      <c r="C136" s="189"/>
      <c r="D136" s="10">
        <v>0</v>
      </c>
      <c r="E136" s="189"/>
      <c r="F136" s="10">
        <v>1.0000000000000001E-5</v>
      </c>
      <c r="G136" s="189"/>
      <c r="H136" s="10">
        <v>0</v>
      </c>
      <c r="I136" s="189"/>
      <c r="J136" s="10">
        <v>5.0000000000000001E-3</v>
      </c>
    </row>
    <row r="137" spans="1:10" x14ac:dyDescent="0.4">
      <c r="A137" s="10">
        <v>128</v>
      </c>
      <c r="B137" s="10">
        <v>0</v>
      </c>
      <c r="C137" s="189"/>
      <c r="D137" s="10">
        <v>0</v>
      </c>
      <c r="E137" s="189"/>
      <c r="F137" s="10">
        <v>1.0000000000000001E-5</v>
      </c>
      <c r="G137" s="189"/>
      <c r="H137" s="10">
        <v>0</v>
      </c>
      <c r="I137" s="189"/>
      <c r="J137" s="10">
        <v>5.0000000000000001E-3</v>
      </c>
    </row>
    <row r="138" spans="1:10" x14ac:dyDescent="0.4">
      <c r="A138" s="10">
        <v>129</v>
      </c>
      <c r="B138" s="10">
        <v>0</v>
      </c>
      <c r="C138" s="189"/>
      <c r="D138" s="10">
        <v>0</v>
      </c>
      <c r="E138" s="189"/>
      <c r="F138" s="10">
        <v>1.0000000000000001E-5</v>
      </c>
      <c r="G138" s="189"/>
      <c r="H138" s="10">
        <v>0</v>
      </c>
      <c r="I138" s="189"/>
      <c r="J138" s="10">
        <v>5.0000000000000001E-3</v>
      </c>
    </row>
    <row r="139" spans="1:10" x14ac:dyDescent="0.4">
      <c r="A139" s="10">
        <v>130</v>
      </c>
      <c r="B139" s="10">
        <v>0</v>
      </c>
      <c r="C139" s="189"/>
      <c r="D139" s="10">
        <v>0</v>
      </c>
      <c r="E139" s="189"/>
      <c r="F139" s="10">
        <v>1.0000000000000001E-5</v>
      </c>
      <c r="G139" s="189"/>
      <c r="H139" s="10">
        <v>0</v>
      </c>
      <c r="I139" s="189"/>
      <c r="J139" s="10">
        <v>5.0000000000000001E-3</v>
      </c>
    </row>
    <row r="140" spans="1:10" x14ac:dyDescent="0.4">
      <c r="A140" s="10">
        <v>131</v>
      </c>
      <c r="B140" s="10">
        <v>0</v>
      </c>
      <c r="C140" s="189"/>
      <c r="D140" s="10">
        <v>0</v>
      </c>
      <c r="E140" s="189"/>
      <c r="F140" s="10">
        <v>1.0000000000000001E-5</v>
      </c>
      <c r="G140" s="189"/>
      <c r="H140" s="10">
        <v>0</v>
      </c>
      <c r="I140" s="189"/>
      <c r="J140" s="10">
        <v>5.0000000000000001E-3</v>
      </c>
    </row>
    <row r="141" spans="1:10" x14ac:dyDescent="0.4">
      <c r="A141" s="10">
        <v>132</v>
      </c>
      <c r="B141" s="10">
        <v>0</v>
      </c>
      <c r="C141" s="189"/>
      <c r="D141" s="10">
        <v>0</v>
      </c>
      <c r="E141" s="189"/>
      <c r="F141" s="10">
        <v>1.0000000000000001E-5</v>
      </c>
      <c r="G141" s="189"/>
      <c r="H141" s="10">
        <v>0</v>
      </c>
      <c r="I141" s="189"/>
      <c r="J141" s="10">
        <v>5.0000000000000001E-3</v>
      </c>
    </row>
    <row r="142" spans="1:10" x14ac:dyDescent="0.4">
      <c r="A142" s="10">
        <v>133</v>
      </c>
      <c r="B142" s="10">
        <v>0</v>
      </c>
      <c r="C142" s="189"/>
      <c r="D142" s="10">
        <v>0</v>
      </c>
      <c r="E142" s="189"/>
      <c r="F142" s="10">
        <v>1.0000000000000001E-5</v>
      </c>
      <c r="G142" s="189"/>
      <c r="H142" s="10">
        <v>0</v>
      </c>
      <c r="I142" s="189"/>
      <c r="J142" s="10">
        <v>5.0000000000000001E-3</v>
      </c>
    </row>
    <row r="143" spans="1:10" x14ac:dyDescent="0.4">
      <c r="A143" s="10">
        <v>134</v>
      </c>
      <c r="B143" s="10">
        <v>0</v>
      </c>
      <c r="C143" s="189"/>
      <c r="D143" s="10">
        <v>0</v>
      </c>
      <c r="E143" s="189"/>
      <c r="F143" s="10">
        <v>1.0000000000000001E-5</v>
      </c>
      <c r="G143" s="189"/>
      <c r="H143" s="10">
        <v>0</v>
      </c>
      <c r="I143" s="189"/>
      <c r="J143" s="10">
        <v>5.0000000000000001E-3</v>
      </c>
    </row>
    <row r="144" spans="1:10" x14ac:dyDescent="0.4">
      <c r="A144" s="10">
        <v>135</v>
      </c>
      <c r="B144" s="10">
        <v>0</v>
      </c>
      <c r="C144" s="189"/>
      <c r="D144" s="10">
        <v>0</v>
      </c>
      <c r="E144" s="189"/>
      <c r="F144" s="10">
        <v>1.0000000000000001E-5</v>
      </c>
      <c r="G144" s="189"/>
      <c r="H144" s="10">
        <v>0</v>
      </c>
      <c r="I144" s="189"/>
      <c r="J144" s="10">
        <v>5.0000000000000001E-3</v>
      </c>
    </row>
    <row r="145" spans="1:10" x14ac:dyDescent="0.4">
      <c r="A145" s="10">
        <v>136</v>
      </c>
      <c r="B145" s="10">
        <v>0</v>
      </c>
      <c r="C145" s="189"/>
      <c r="D145" s="10">
        <v>0</v>
      </c>
      <c r="E145" s="189"/>
      <c r="F145" s="10">
        <v>1.0000000000000001E-5</v>
      </c>
      <c r="G145" s="189"/>
      <c r="H145" s="10">
        <v>0</v>
      </c>
      <c r="I145" s="189"/>
      <c r="J145" s="10">
        <v>5.0000000000000001E-3</v>
      </c>
    </row>
    <row r="146" spans="1:10" x14ac:dyDescent="0.4">
      <c r="A146" s="10">
        <v>137</v>
      </c>
      <c r="B146" s="10">
        <v>0</v>
      </c>
      <c r="C146" s="189"/>
      <c r="D146" s="10">
        <v>0</v>
      </c>
      <c r="E146" s="189"/>
      <c r="F146" s="10">
        <v>1.0000000000000001E-5</v>
      </c>
      <c r="G146" s="189"/>
      <c r="H146" s="10">
        <v>0</v>
      </c>
      <c r="I146" s="189"/>
      <c r="J146" s="10">
        <v>5.0000000000000001E-3</v>
      </c>
    </row>
    <row r="147" spans="1:10" x14ac:dyDescent="0.4">
      <c r="A147" s="10">
        <v>138</v>
      </c>
      <c r="B147" s="10">
        <v>0</v>
      </c>
      <c r="C147" s="189"/>
      <c r="D147" s="10">
        <v>0</v>
      </c>
      <c r="E147" s="189"/>
      <c r="F147" s="10">
        <v>1.0000000000000001E-5</v>
      </c>
      <c r="G147" s="189"/>
      <c r="H147" s="10">
        <v>0</v>
      </c>
      <c r="I147" s="189"/>
      <c r="J147" s="10">
        <v>5.0000000000000001E-3</v>
      </c>
    </row>
    <row r="148" spans="1:10" x14ac:dyDescent="0.4">
      <c r="A148" s="10">
        <v>139</v>
      </c>
      <c r="B148" s="10">
        <v>0</v>
      </c>
      <c r="C148" s="189"/>
      <c r="D148" s="10">
        <v>0</v>
      </c>
      <c r="E148" s="189"/>
      <c r="F148" s="10">
        <v>1.0000000000000001E-5</v>
      </c>
      <c r="G148" s="189"/>
      <c r="H148" s="10">
        <v>0</v>
      </c>
      <c r="I148" s="189"/>
      <c r="J148" s="10">
        <v>5.0000000000000001E-3</v>
      </c>
    </row>
    <row r="149" spans="1:10" x14ac:dyDescent="0.4">
      <c r="A149" s="10">
        <v>140</v>
      </c>
      <c r="B149" s="10">
        <v>0</v>
      </c>
      <c r="C149" s="189"/>
      <c r="D149" s="10">
        <v>0</v>
      </c>
      <c r="E149" s="189"/>
      <c r="F149" s="10">
        <v>0</v>
      </c>
      <c r="G149" s="189"/>
      <c r="H149" s="10">
        <v>0</v>
      </c>
      <c r="I149" s="189"/>
      <c r="J149" s="10">
        <v>5.0000000000000001E-3</v>
      </c>
    </row>
    <row r="150" spans="1:10" x14ac:dyDescent="0.4">
      <c r="A150" s="10">
        <v>141</v>
      </c>
      <c r="B150" s="10">
        <v>0</v>
      </c>
      <c r="C150" s="189"/>
      <c r="D150" s="10">
        <v>0</v>
      </c>
      <c r="E150" s="189"/>
      <c r="F150" s="10">
        <v>0</v>
      </c>
      <c r="G150" s="189"/>
      <c r="H150" s="10">
        <v>0</v>
      </c>
      <c r="I150" s="189"/>
      <c r="J150" s="10">
        <v>5.0000000000000001E-3</v>
      </c>
    </row>
    <row r="151" spans="1:10" x14ac:dyDescent="0.4">
      <c r="A151" s="10">
        <v>142</v>
      </c>
      <c r="B151" s="10">
        <v>0</v>
      </c>
      <c r="C151" s="189"/>
      <c r="D151" s="10">
        <v>0</v>
      </c>
      <c r="E151" s="189"/>
      <c r="F151" s="10">
        <v>0</v>
      </c>
      <c r="G151" s="189"/>
      <c r="H151" s="10">
        <v>0</v>
      </c>
      <c r="I151" s="189"/>
      <c r="J151" s="10">
        <v>5.0000000000000001E-3</v>
      </c>
    </row>
    <row r="152" spans="1:10" x14ac:dyDescent="0.4">
      <c r="A152" s="10">
        <v>143</v>
      </c>
      <c r="B152" s="10">
        <v>0</v>
      </c>
      <c r="C152" s="189"/>
      <c r="D152" s="10">
        <v>0</v>
      </c>
      <c r="E152" s="189"/>
      <c r="F152" s="10">
        <v>0</v>
      </c>
      <c r="G152" s="189"/>
      <c r="H152" s="10">
        <v>0</v>
      </c>
      <c r="I152" s="189"/>
      <c r="J152" s="10">
        <v>5.0000000000000001E-3</v>
      </c>
    </row>
    <row r="153" spans="1:10" x14ac:dyDescent="0.4">
      <c r="A153" s="10">
        <v>144</v>
      </c>
      <c r="B153" s="10">
        <v>0</v>
      </c>
      <c r="C153" s="189"/>
      <c r="D153" s="10">
        <v>0</v>
      </c>
      <c r="E153" s="189"/>
      <c r="F153" s="10">
        <v>0</v>
      </c>
      <c r="G153" s="189"/>
      <c r="H153" s="10">
        <v>0</v>
      </c>
      <c r="I153" s="189"/>
      <c r="J153" s="10">
        <v>5.0000000000000001E-3</v>
      </c>
    </row>
    <row r="154" spans="1:10" x14ac:dyDescent="0.4">
      <c r="A154" s="10">
        <v>145</v>
      </c>
      <c r="B154" s="10">
        <v>0</v>
      </c>
      <c r="C154" s="189"/>
      <c r="D154" s="10">
        <v>0</v>
      </c>
      <c r="E154" s="189"/>
      <c r="F154" s="10">
        <v>0</v>
      </c>
      <c r="G154" s="189"/>
      <c r="H154" s="10">
        <v>0</v>
      </c>
      <c r="I154" s="189"/>
      <c r="J154" s="10">
        <v>5.0000000000000001E-3</v>
      </c>
    </row>
    <row r="155" spans="1:10" x14ac:dyDescent="0.4">
      <c r="A155" s="10">
        <v>146</v>
      </c>
      <c r="B155" s="10">
        <v>0</v>
      </c>
      <c r="C155" s="189"/>
      <c r="D155" s="10">
        <v>0</v>
      </c>
      <c r="E155" s="189"/>
      <c r="F155" s="10">
        <v>0</v>
      </c>
      <c r="G155" s="189"/>
      <c r="H155" s="10">
        <v>0</v>
      </c>
      <c r="I155" s="189"/>
      <c r="J155" s="10">
        <v>5.0000000000000001E-3</v>
      </c>
    </row>
    <row r="156" spans="1:10" x14ac:dyDescent="0.4">
      <c r="A156" s="10">
        <v>147</v>
      </c>
      <c r="B156" s="10">
        <v>0</v>
      </c>
      <c r="C156" s="189"/>
      <c r="D156" s="10">
        <v>0</v>
      </c>
      <c r="E156" s="189"/>
      <c r="F156" s="10">
        <v>0</v>
      </c>
      <c r="G156" s="189"/>
      <c r="H156" s="10">
        <v>0</v>
      </c>
      <c r="I156" s="189"/>
      <c r="J156" s="10">
        <v>5.0000000000000001E-3</v>
      </c>
    </row>
    <row r="157" spans="1:10" x14ac:dyDescent="0.4">
      <c r="A157" s="10">
        <v>148</v>
      </c>
      <c r="B157" s="10">
        <v>0</v>
      </c>
      <c r="C157" s="189"/>
      <c r="D157" s="10">
        <v>0</v>
      </c>
      <c r="E157" s="189"/>
      <c r="F157" s="10">
        <v>0</v>
      </c>
      <c r="G157" s="189"/>
      <c r="H157" s="10">
        <v>0</v>
      </c>
      <c r="I157" s="189"/>
      <c r="J157" s="10">
        <v>5.0000000000000001E-3</v>
      </c>
    </row>
    <row r="158" spans="1:10" x14ac:dyDescent="0.4">
      <c r="A158" s="10">
        <v>149</v>
      </c>
      <c r="B158" s="10">
        <v>0</v>
      </c>
      <c r="C158" s="189"/>
      <c r="D158" s="10">
        <v>0</v>
      </c>
      <c r="E158" s="189"/>
      <c r="F158" s="10">
        <v>0</v>
      </c>
      <c r="G158" s="189"/>
      <c r="H158" s="10">
        <v>0</v>
      </c>
      <c r="I158" s="189"/>
      <c r="J158" s="10">
        <v>5.0000000000000001E-3</v>
      </c>
    </row>
    <row r="159" spans="1:10" x14ac:dyDescent="0.4">
      <c r="A159" s="10">
        <v>150</v>
      </c>
      <c r="B159" s="10">
        <v>0</v>
      </c>
      <c r="C159" s="189"/>
      <c r="D159" s="10">
        <v>0</v>
      </c>
      <c r="E159" s="189"/>
      <c r="F159" s="10">
        <v>0</v>
      </c>
      <c r="G159" s="189"/>
      <c r="H159" s="10">
        <v>0</v>
      </c>
      <c r="I159" s="189"/>
      <c r="J159" s="10">
        <v>5.0000000000000001E-3</v>
      </c>
    </row>
    <row r="160" spans="1:10" x14ac:dyDescent="0.4">
      <c r="A160" s="10">
        <v>151</v>
      </c>
      <c r="B160" s="10">
        <v>0</v>
      </c>
      <c r="C160" s="189"/>
      <c r="D160" s="10">
        <v>0</v>
      </c>
      <c r="E160" s="189"/>
      <c r="F160" s="10">
        <v>0</v>
      </c>
      <c r="G160" s="189"/>
      <c r="H160" s="10">
        <v>0</v>
      </c>
      <c r="I160" s="189"/>
      <c r="J160" s="10">
        <v>0</v>
      </c>
    </row>
    <row r="161" spans="1:10" x14ac:dyDescent="0.4">
      <c r="A161" s="10">
        <v>152</v>
      </c>
      <c r="B161" s="10">
        <v>0</v>
      </c>
      <c r="C161" s="189"/>
      <c r="D161" s="10">
        <v>0</v>
      </c>
      <c r="E161" s="189"/>
      <c r="F161" s="10">
        <v>0</v>
      </c>
      <c r="G161" s="189"/>
      <c r="H161" s="10">
        <v>0</v>
      </c>
      <c r="I161" s="189"/>
      <c r="J161" s="10">
        <v>0</v>
      </c>
    </row>
    <row r="162" spans="1:10" x14ac:dyDescent="0.4">
      <c r="A162" s="10">
        <v>153</v>
      </c>
      <c r="B162" s="10">
        <v>0</v>
      </c>
      <c r="C162" s="189"/>
      <c r="D162" s="10">
        <v>0</v>
      </c>
      <c r="E162" s="189"/>
      <c r="F162" s="10">
        <v>0</v>
      </c>
      <c r="G162" s="189"/>
      <c r="H162" s="10">
        <v>0</v>
      </c>
      <c r="I162" s="189"/>
      <c r="J162" s="10">
        <v>0</v>
      </c>
    </row>
    <row r="163" spans="1:10" x14ac:dyDescent="0.4">
      <c r="A163" s="10">
        <v>154</v>
      </c>
      <c r="B163" s="10">
        <v>0</v>
      </c>
      <c r="C163" s="189"/>
      <c r="D163" s="10">
        <v>0</v>
      </c>
      <c r="E163" s="189"/>
      <c r="F163" s="10">
        <v>0</v>
      </c>
      <c r="G163" s="189"/>
      <c r="H163" s="10">
        <v>0</v>
      </c>
      <c r="I163" s="189"/>
      <c r="J163" s="10">
        <v>0</v>
      </c>
    </row>
    <row r="164" spans="1:10" x14ac:dyDescent="0.4">
      <c r="A164" s="10">
        <v>155</v>
      </c>
      <c r="B164" s="10">
        <v>0</v>
      </c>
      <c r="C164" s="189"/>
      <c r="D164" s="10">
        <v>0</v>
      </c>
      <c r="E164" s="189"/>
      <c r="F164" s="10">
        <v>0</v>
      </c>
      <c r="G164" s="189"/>
      <c r="H164" s="10">
        <v>0</v>
      </c>
      <c r="I164" s="189"/>
      <c r="J164" s="10">
        <v>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76"/>
  <sheetViews>
    <sheetView zoomScale="75" workbookViewId="0">
      <selection activeCell="B4" sqref="B4"/>
    </sheetView>
  </sheetViews>
  <sheetFormatPr defaultRowHeight="12.3" x14ac:dyDescent="0.4"/>
  <cols>
    <col min="1" max="1" width="7.44140625" customWidth="1"/>
    <col min="4" max="4" width="9.1640625" style="26"/>
    <col min="5" max="5" width="4.71875" style="26" customWidth="1"/>
    <col min="6" max="6" width="8.1640625" style="26" customWidth="1"/>
    <col min="7" max="7" width="7.71875" style="26" customWidth="1"/>
    <col min="8" max="8" width="7.44140625" customWidth="1"/>
    <col min="9" max="10" width="7.5546875" customWidth="1"/>
    <col min="11" max="11" width="7.71875" customWidth="1"/>
    <col min="12" max="13" width="7.5546875" customWidth="1"/>
    <col min="14" max="14" width="7.83203125" customWidth="1"/>
    <col min="15" max="15" width="7" customWidth="1"/>
    <col min="16" max="16" width="7.5546875" customWidth="1"/>
    <col min="17" max="17" width="7.1640625" customWidth="1"/>
  </cols>
  <sheetData>
    <row r="1" spans="1:17" x14ac:dyDescent="0.4">
      <c r="A1" s="1" t="s">
        <v>149</v>
      </c>
    </row>
    <row r="2" spans="1:17" x14ac:dyDescent="0.4">
      <c r="A2" s="1" t="s">
        <v>151</v>
      </c>
    </row>
    <row r="4" spans="1:17" s="10" customFormat="1" ht="10.5" x14ac:dyDescent="0.4">
      <c r="A4" s="10" t="s">
        <v>58</v>
      </c>
      <c r="B4" s="80">
        <f>'Input data'!C25</f>
        <v>55.8</v>
      </c>
      <c r="C4" s="11" t="s">
        <v>123</v>
      </c>
      <c r="D4" s="27"/>
      <c r="E4" s="27"/>
      <c r="F4" s="27"/>
      <c r="G4" s="27"/>
    </row>
    <row r="5" spans="1:17" s="10" customFormat="1" ht="10.199999999999999" x14ac:dyDescent="0.35">
      <c r="D5" s="27"/>
      <c r="E5" s="27"/>
      <c r="F5" s="27"/>
      <c r="G5" s="27"/>
    </row>
    <row r="6" spans="1:17" s="10" customFormat="1" ht="10.199999999999999" x14ac:dyDescent="0.35">
      <c r="A6" s="10" t="s">
        <v>72</v>
      </c>
      <c r="D6" s="27"/>
      <c r="E6" s="27"/>
      <c r="F6" s="27"/>
      <c r="G6" s="27"/>
    </row>
    <row r="7" spans="1:17" s="10" customFormat="1" ht="10.199999999999999" x14ac:dyDescent="0.35">
      <c r="D7" s="27"/>
      <c r="E7" s="27"/>
      <c r="F7" s="27"/>
      <c r="G7" s="27"/>
    </row>
    <row r="8" spans="1:17" s="10" customFormat="1" x14ac:dyDescent="0.4">
      <c r="B8" s="10" t="s">
        <v>59</v>
      </c>
      <c r="C8" s="10" t="s">
        <v>60</v>
      </c>
      <c r="D8" s="27"/>
      <c r="E8" s="27"/>
      <c r="F8" s="1" t="s">
        <v>61</v>
      </c>
      <c r="G8" s="32"/>
      <c r="H8" s="6"/>
      <c r="I8" s="6"/>
      <c r="J8" s="1"/>
      <c r="K8" s="6"/>
      <c r="L8" s="6"/>
      <c r="M8" s="6"/>
      <c r="N8" s="6"/>
      <c r="O8" s="6"/>
      <c r="P8" s="6"/>
      <c r="Q8" s="6"/>
    </row>
    <row r="9" spans="1:17" s="10" customFormat="1" x14ac:dyDescent="0.4">
      <c r="A9" s="10">
        <v>1</v>
      </c>
      <c r="B9" s="30">
        <f t="shared" ref="B9:B72" si="0">ASIN(0.39795*COS(0.2163108+2*ATAN(0.9671396*TAN(0.0086*(A9-186)))))</f>
        <v>-0.40270065067443078</v>
      </c>
      <c r="C9" s="30">
        <f t="shared" ref="C9:C72" si="1">24-(24/PI())*ACOS((SIN(0.8333*PI()/180)+SIN($B$4*PI()/180)*SIN(B9))/(COS($B$4*PI()/180)*COS(B9)))</f>
        <v>7.0965417263055137</v>
      </c>
      <c r="D9" s="27">
        <v>39814</v>
      </c>
      <c r="E9" s="27"/>
      <c r="F9" s="33" t="s">
        <v>4</v>
      </c>
      <c r="G9" s="33" t="s">
        <v>5</v>
      </c>
      <c r="H9" s="33" t="s">
        <v>62</v>
      </c>
      <c r="I9" s="33" t="s">
        <v>63</v>
      </c>
      <c r="J9" s="33" t="s">
        <v>8</v>
      </c>
      <c r="K9" s="33" t="s">
        <v>64</v>
      </c>
      <c r="L9" s="33" t="s">
        <v>65</v>
      </c>
      <c r="M9" s="33" t="s">
        <v>66</v>
      </c>
      <c r="N9" s="33" t="s">
        <v>67</v>
      </c>
      <c r="O9" s="33" t="s">
        <v>13</v>
      </c>
      <c r="P9" s="33" t="s">
        <v>14</v>
      </c>
      <c r="Q9" s="33" t="s">
        <v>15</v>
      </c>
    </row>
    <row r="10" spans="1:17" s="10" customFormat="1" x14ac:dyDescent="0.4">
      <c r="A10" s="10">
        <f t="shared" ref="A10:A73" si="2">A9+1</f>
        <v>2</v>
      </c>
      <c r="B10" s="30">
        <f t="shared" si="0"/>
        <v>-0.4012979990256228</v>
      </c>
      <c r="C10" s="30">
        <f t="shared" si="1"/>
        <v>7.1195989754023934</v>
      </c>
      <c r="D10" s="27">
        <f t="shared" ref="D10:D73" si="3">D9+1</f>
        <v>39815</v>
      </c>
      <c r="E10" s="27"/>
      <c r="F10" s="34">
        <f>SUM(C9:C39)</f>
        <v>238.78888198261959</v>
      </c>
      <c r="G10" s="34">
        <f>SUM(C40:C67)</f>
        <v>267.45031393014273</v>
      </c>
      <c r="H10" s="34">
        <f>SUM(C68:C98)</f>
        <v>365.61770672963922</v>
      </c>
      <c r="I10" s="34">
        <f>SUM(C99:C128)</f>
        <v>424.04227433468935</v>
      </c>
      <c r="J10" s="34">
        <f>SUM(C129:C159)</f>
        <v>503.61114467295624</v>
      </c>
      <c r="K10" s="34">
        <f>SUM(C160:C189)</f>
        <v>523.48372937097724</v>
      </c>
      <c r="L10" s="34">
        <f>SUM(C190:C220)</f>
        <v>524.89172337782463</v>
      </c>
      <c r="M10" s="34">
        <f>SUM(C221:C251)</f>
        <v>467.39166898582283</v>
      </c>
      <c r="N10" s="34">
        <f>SUM(C252:C281)</f>
        <v>384.55261523808144</v>
      </c>
      <c r="O10" s="34">
        <f>SUM(C282:C312)</f>
        <v>325.48317795403966</v>
      </c>
      <c r="P10" s="34">
        <f>SUM(C313:C342)</f>
        <v>250.82142903002887</v>
      </c>
      <c r="Q10" s="34">
        <f>SUM(C343:C373)</f>
        <v>220.79045233583778</v>
      </c>
    </row>
    <row r="11" spans="1:17" s="10" customFormat="1" x14ac:dyDescent="0.4">
      <c r="A11" s="10">
        <f t="shared" si="2"/>
        <v>3</v>
      </c>
      <c r="B11" s="30">
        <f t="shared" si="0"/>
        <v>-0.39976204406913618</v>
      </c>
      <c r="C11" s="30">
        <f t="shared" si="1"/>
        <v>7.1447576244737512</v>
      </c>
      <c r="D11" s="27">
        <f t="shared" si="3"/>
        <v>39816</v>
      </c>
      <c r="E11" s="27"/>
      <c r="F11" s="32"/>
      <c r="G11" s="32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s="10" customFormat="1" x14ac:dyDescent="0.4">
      <c r="A12" s="10">
        <f t="shared" si="2"/>
        <v>4</v>
      </c>
      <c r="B12" s="30">
        <f t="shared" si="0"/>
        <v>-0.39809353943540499</v>
      </c>
      <c r="C12" s="30">
        <f t="shared" si="1"/>
        <v>7.1719822258401251</v>
      </c>
      <c r="D12" s="27">
        <f t="shared" si="3"/>
        <v>39817</v>
      </c>
      <c r="E12" s="27"/>
      <c r="F12" s="32"/>
      <c r="G12" s="32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s="10" customFormat="1" x14ac:dyDescent="0.4">
      <c r="A13" s="10">
        <f t="shared" si="2"/>
        <v>5</v>
      </c>
      <c r="B13" s="30">
        <f t="shared" si="0"/>
        <v>-0.39629330457846768</v>
      </c>
      <c r="C13" s="30">
        <f t="shared" si="1"/>
        <v>7.2012349925137116</v>
      </c>
      <c r="D13" s="27">
        <f t="shared" si="3"/>
        <v>39818</v>
      </c>
      <c r="E13" s="27"/>
      <c r="F13" s="1" t="s">
        <v>68</v>
      </c>
      <c r="G13" s="32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s="10" customFormat="1" x14ac:dyDescent="0.4">
      <c r="A14" s="10">
        <f t="shared" si="2"/>
        <v>6</v>
      </c>
      <c r="B14" s="30">
        <f t="shared" si="0"/>
        <v>-0.39436222344644489</v>
      </c>
      <c r="C14" s="30">
        <f t="shared" si="1"/>
        <v>7.232475990302202</v>
      </c>
      <c r="D14" s="27">
        <f t="shared" si="3"/>
        <v>39819</v>
      </c>
      <c r="E14" s="27"/>
      <c r="F14" s="34">
        <f t="shared" ref="F14:Q14" si="4">F18-F10</f>
        <v>505.21111801738039</v>
      </c>
      <c r="G14" s="34">
        <f t="shared" si="4"/>
        <v>404.54968606985727</v>
      </c>
      <c r="H14" s="34">
        <f t="shared" si="4"/>
        <v>378.38229327036078</v>
      </c>
      <c r="I14" s="34">
        <f t="shared" si="4"/>
        <v>295.95772566531065</v>
      </c>
      <c r="J14" s="34">
        <f t="shared" si="4"/>
        <v>240.38885532704376</v>
      </c>
      <c r="K14" s="34">
        <f t="shared" si="4"/>
        <v>196.51627062902276</v>
      </c>
      <c r="L14" s="34">
        <f t="shared" si="4"/>
        <v>219.10827662217537</v>
      </c>
      <c r="M14" s="34">
        <f t="shared" si="4"/>
        <v>276.60833101417717</v>
      </c>
      <c r="N14" s="34">
        <f t="shared" si="4"/>
        <v>335.44738476191856</v>
      </c>
      <c r="O14" s="34">
        <f t="shared" si="4"/>
        <v>418.51682204596034</v>
      </c>
      <c r="P14" s="34">
        <f t="shared" si="4"/>
        <v>469.17857096997113</v>
      </c>
      <c r="Q14" s="34">
        <f t="shared" si="4"/>
        <v>523.20954766416219</v>
      </c>
    </row>
    <row r="15" spans="1:17" s="10" customFormat="1" x14ac:dyDescent="0.4">
      <c r="A15" s="10">
        <f t="shared" si="2"/>
        <v>7</v>
      </c>
      <c r="B15" s="30">
        <f t="shared" si="0"/>
        <v>-0.39230124306200953</v>
      </c>
      <c r="C15" s="30">
        <f t="shared" si="1"/>
        <v>7.2656633347553878</v>
      </c>
      <c r="D15" s="27">
        <f t="shared" si="3"/>
        <v>39820</v>
      </c>
      <c r="E15" s="27"/>
      <c r="F15" s="32"/>
      <c r="G15" s="32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s="10" customFormat="1" x14ac:dyDescent="0.4">
      <c r="A16" s="10">
        <f t="shared" si="2"/>
        <v>8</v>
      </c>
      <c r="B16" s="30">
        <f t="shared" si="0"/>
        <v>-0.39011137201880836</v>
      </c>
      <c r="C16" s="30">
        <f t="shared" si="1"/>
        <v>7.3007533910629299</v>
      </c>
      <c r="D16" s="27">
        <f t="shared" si="3"/>
        <v>39821</v>
      </c>
      <c r="E16" s="27"/>
      <c r="F16" s="32"/>
      <c r="G16" s="32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s="10" customFormat="1" x14ac:dyDescent="0.4">
      <c r="A17" s="10">
        <f t="shared" si="2"/>
        <v>9</v>
      </c>
      <c r="B17" s="30">
        <f t="shared" si="0"/>
        <v>-0.38779367890004862</v>
      </c>
      <c r="C17" s="30">
        <f t="shared" si="1"/>
        <v>7.3377009750880049</v>
      </c>
      <c r="D17" s="27">
        <f t="shared" si="3"/>
        <v>39822</v>
      </c>
      <c r="E17" s="27"/>
      <c r="F17" s="1" t="s">
        <v>73</v>
      </c>
      <c r="G17" s="32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s="10" customFormat="1" x14ac:dyDescent="0.4">
      <c r="A18" s="10">
        <f t="shared" si="2"/>
        <v>10</v>
      </c>
      <c r="B18" s="30">
        <f t="shared" si="0"/>
        <v>-0.38534929062564854</v>
      </c>
      <c r="C18" s="30">
        <f t="shared" si="1"/>
        <v>7.3764595538219417</v>
      </c>
      <c r="D18" s="27">
        <f t="shared" si="3"/>
        <v>39823</v>
      </c>
      <c r="E18" s="27"/>
      <c r="F18" s="34">
        <f>31*24</f>
        <v>744</v>
      </c>
      <c r="G18" s="34">
        <f>28*24</f>
        <v>672</v>
      </c>
      <c r="H18" s="34">
        <f>31*24</f>
        <v>744</v>
      </c>
      <c r="I18" s="34">
        <f>30*24</f>
        <v>720</v>
      </c>
      <c r="J18" s="34">
        <f>31*24</f>
        <v>744</v>
      </c>
      <c r="K18" s="34">
        <f>30*24</f>
        <v>720</v>
      </c>
      <c r="L18" s="34">
        <f>31*24</f>
        <v>744</v>
      </c>
      <c r="M18" s="34">
        <f>31*24</f>
        <v>744</v>
      </c>
      <c r="N18" s="34">
        <f>30*24</f>
        <v>720</v>
      </c>
      <c r="O18" s="34">
        <f>31*24</f>
        <v>744</v>
      </c>
      <c r="P18" s="34">
        <f>30*24</f>
        <v>720</v>
      </c>
      <c r="Q18" s="34">
        <f>31*24</f>
        <v>744</v>
      </c>
    </row>
    <row r="19" spans="1:17" s="10" customFormat="1" ht="10.199999999999999" x14ac:dyDescent="0.35">
      <c r="A19" s="10">
        <f t="shared" si="2"/>
        <v>11</v>
      </c>
      <c r="B19" s="30">
        <f t="shared" si="0"/>
        <v>-0.38277939073452405</v>
      </c>
      <c r="C19" s="30">
        <f t="shared" si="1"/>
        <v>7.4169814436644863</v>
      </c>
      <c r="D19" s="27">
        <f t="shared" si="3"/>
        <v>39824</v>
      </c>
      <c r="E19" s="27"/>
      <c r="F19" s="27"/>
      <c r="G19" s="27"/>
    </row>
    <row r="20" spans="1:17" s="10" customFormat="1" ht="10.199999999999999" x14ac:dyDescent="0.35">
      <c r="A20" s="10">
        <f t="shared" si="2"/>
        <v>12</v>
      </c>
      <c r="B20" s="30">
        <f t="shared" si="0"/>
        <v>-0.38008521760868019</v>
      </c>
      <c r="C20" s="30">
        <f t="shared" si="1"/>
        <v>7.4592180050698609</v>
      </c>
      <c r="D20" s="27">
        <f t="shared" si="3"/>
        <v>39825</v>
      </c>
      <c r="E20" s="27"/>
      <c r="F20" s="27"/>
      <c r="G20" s="27"/>
    </row>
    <row r="21" spans="1:17" s="10" customFormat="1" ht="10.199999999999999" x14ac:dyDescent="0.35">
      <c r="A21" s="10">
        <f t="shared" si="2"/>
        <v>13</v>
      </c>
      <c r="B21" s="30">
        <f t="shared" si="0"/>
        <v>-0.3772680626458555</v>
      </c>
      <c r="C21" s="30">
        <f t="shared" si="1"/>
        <v>7.5031198322451793</v>
      </c>
      <c r="D21" s="27">
        <f t="shared" si="3"/>
        <v>39826</v>
      </c>
      <c r="E21" s="27"/>
      <c r="F21" s="27"/>
      <c r="G21" s="27"/>
      <c r="H21" s="10" t="s">
        <v>114</v>
      </c>
    </row>
    <row r="22" spans="1:17" s="10" customFormat="1" ht="10.199999999999999" x14ac:dyDescent="0.35">
      <c r="A22" s="10">
        <f t="shared" si="2"/>
        <v>14</v>
      </c>
      <c r="B22" s="30">
        <f t="shared" si="0"/>
        <v>-0.37432926838749264</v>
      </c>
      <c r="C22" s="30">
        <f t="shared" si="1"/>
        <v>7.5486369367415413</v>
      </c>
      <c r="D22" s="27">
        <f t="shared" si="3"/>
        <v>39827</v>
      </c>
      <c r="E22" s="27"/>
      <c r="F22" s="27"/>
      <c r="G22" s="27"/>
    </row>
    <row r="23" spans="1:17" s="10" customFormat="1" ht="10.199999999999999" x14ac:dyDescent="0.35">
      <c r="A23" s="10">
        <f t="shared" si="2"/>
        <v>15</v>
      </c>
      <c r="B23" s="30">
        <f t="shared" si="0"/>
        <v>-0.37127022660879272</v>
      </c>
      <c r="C23" s="30">
        <f t="shared" si="1"/>
        <v>7.5957189239355891</v>
      </c>
      <c r="D23" s="27">
        <f t="shared" si="3"/>
        <v>39828</v>
      </c>
      <c r="E23" s="27"/>
      <c r="F23" s="27"/>
      <c r="G23" s="27"/>
    </row>
    <row r="24" spans="1:17" s="10" customFormat="1" ht="10.199999999999999" x14ac:dyDescent="0.35">
      <c r="A24" s="10">
        <f t="shared" si="2"/>
        <v>16</v>
      </c>
      <c r="B24" s="30">
        <f t="shared" si="0"/>
        <v>-0.36809237637756381</v>
      </c>
      <c r="C24" s="30">
        <f t="shared" si="1"/>
        <v>7.64431516155663</v>
      </c>
      <c r="D24" s="27">
        <f t="shared" si="3"/>
        <v>39829</v>
      </c>
      <c r="E24" s="27"/>
      <c r="F24" s="27"/>
      <c r="G24" s="27"/>
    </row>
    <row r="25" spans="1:17" s="10" customFormat="1" ht="10.199999999999999" x14ac:dyDescent="0.35">
      <c r="A25" s="10">
        <f t="shared" si="2"/>
        <v>17</v>
      </c>
      <c r="B25" s="30">
        <f t="shared" si="0"/>
        <v>-0.36479720208847966</v>
      </c>
      <c r="C25" s="30">
        <f t="shared" si="1"/>
        <v>7.6943749395691796</v>
      </c>
      <c r="D25" s="27">
        <f t="shared" si="3"/>
        <v>39830</v>
      </c>
      <c r="E25" s="27"/>
      <c r="F25" s="27"/>
      <c r="G25" s="27"/>
    </row>
    <row r="26" spans="1:17" s="10" customFormat="1" ht="10.199999999999999" x14ac:dyDescent="0.35">
      <c r="A26" s="10">
        <f t="shared" si="2"/>
        <v>18</v>
      </c>
      <c r="B26" s="30">
        <f t="shared" si="0"/>
        <v>-0.36138623147924798</v>
      </c>
      <c r="C26" s="30">
        <f t="shared" si="1"/>
        <v>7.74584762086943</v>
      </c>
      <c r="D26" s="27">
        <f t="shared" si="3"/>
        <v>39831</v>
      </c>
      <c r="E26" s="27"/>
      <c r="F26" s="27"/>
      <c r="G26" s="27"/>
    </row>
    <row r="27" spans="1:17" s="10" customFormat="1" ht="10.199999999999999" x14ac:dyDescent="0.35">
      <c r="A27" s="10">
        <f t="shared" si="2"/>
        <v>19</v>
      </c>
      <c r="B27" s="30">
        <f t="shared" si="0"/>
        <v>-0.35786103363502658</v>
      </c>
      <c r="C27" s="30">
        <f t="shared" si="1"/>
        <v>7.7986827823962734</v>
      </c>
      <c r="D27" s="27">
        <f t="shared" si="3"/>
        <v>39832</v>
      </c>
      <c r="E27" s="27"/>
      <c r="F27" s="27"/>
      <c r="G27" s="27"/>
    </row>
    <row r="28" spans="1:17" s="10" customFormat="1" ht="10.199999999999999" x14ac:dyDescent="0.35">
      <c r="A28" s="10">
        <f t="shared" si="2"/>
        <v>20</v>
      </c>
      <c r="B28" s="30">
        <f t="shared" si="0"/>
        <v>-0.35422321698724518</v>
      </c>
      <c r="C28" s="30">
        <f t="shared" si="1"/>
        <v>7.8528303463891014</v>
      </c>
      <c r="D28" s="27">
        <f t="shared" si="3"/>
        <v>39833</v>
      </c>
      <c r="E28" s="27"/>
      <c r="F28" s="27"/>
      <c r="G28" s="27"/>
    </row>
    <row r="29" spans="1:17" s="10" customFormat="1" ht="10.199999999999999" x14ac:dyDescent="0.35">
      <c r="A29" s="10">
        <f t="shared" si="2"/>
        <v>21</v>
      </c>
      <c r="B29" s="30">
        <f t="shared" si="0"/>
        <v>-0.35047442731277689</v>
      </c>
      <c r="C29" s="30">
        <f t="shared" si="1"/>
        <v>7.9082407016468395</v>
      </c>
      <c r="D29" s="27">
        <f t="shared" si="3"/>
        <v>39834</v>
      </c>
      <c r="E29" s="27"/>
      <c r="F29" s="27"/>
      <c r="G29" s="27"/>
    </row>
    <row r="30" spans="1:17" s="10" customFormat="1" ht="10.199999999999999" x14ac:dyDescent="0.35">
      <c r="A30" s="10">
        <f t="shared" si="2"/>
        <v>22</v>
      </c>
      <c r="B30" s="30">
        <f t="shared" si="0"/>
        <v>-0.34661634573917116</v>
      </c>
      <c r="C30" s="30">
        <f t="shared" si="1"/>
        <v>7.9648648147527261</v>
      </c>
      <c r="D30" s="27">
        <f t="shared" si="3"/>
        <v>39835</v>
      </c>
      <c r="E30" s="27"/>
      <c r="F30" s="27"/>
      <c r="G30" s="27"/>
    </row>
    <row r="31" spans="1:17" s="10" customFormat="1" ht="10.199999999999999" x14ac:dyDescent="0.35">
      <c r="A31" s="10">
        <f t="shared" si="2"/>
        <v>23</v>
      </c>
      <c r="B31" s="30">
        <f t="shared" si="0"/>
        <v>-0.34265068676140203</v>
      </c>
      <c r="C31" s="30">
        <f t="shared" si="1"/>
        <v>8.0226543313281198</v>
      </c>
      <c r="D31" s="27">
        <f t="shared" si="3"/>
        <v>39836</v>
      </c>
      <c r="E31" s="27"/>
      <c r="F31" s="27"/>
      <c r="G31" s="27"/>
    </row>
    <row r="32" spans="1:17" s="10" customFormat="1" ht="10.199999999999999" x14ac:dyDescent="0.35">
      <c r="A32" s="10">
        <f t="shared" si="2"/>
        <v>24</v>
      </c>
      <c r="B32" s="30">
        <f t="shared" si="0"/>
        <v>-0.33857919627531541</v>
      </c>
      <c r="C32" s="30">
        <f t="shared" si="1"/>
        <v>8.0815616674651771</v>
      </c>
      <c r="D32" s="27">
        <f t="shared" si="3"/>
        <v>39837</v>
      </c>
      <c r="E32" s="27"/>
      <c r="F32" s="27"/>
      <c r="G32" s="27"/>
    </row>
    <row r="33" spans="1:7" s="10" customFormat="1" ht="10.199999999999999" x14ac:dyDescent="0.35">
      <c r="A33" s="10">
        <f t="shared" si="2"/>
        <v>25</v>
      </c>
      <c r="B33" s="30">
        <f t="shared" si="0"/>
        <v>-0.33440364963266606</v>
      </c>
      <c r="C33" s="30">
        <f t="shared" si="1"/>
        <v>8.141540091563062</v>
      </c>
      <c r="D33" s="27">
        <f t="shared" si="3"/>
        <v>39838</v>
      </c>
      <c r="E33" s="27"/>
      <c r="F33" s="27"/>
      <c r="G33" s="27"/>
    </row>
    <row r="34" spans="1:7" s="10" customFormat="1" ht="10.199999999999999" x14ac:dyDescent="0.35">
      <c r="A34" s="10">
        <f t="shared" si="2"/>
        <v>26</v>
      </c>
      <c r="B34" s="30">
        <f t="shared" si="0"/>
        <v>-0.3301258497223431</v>
      </c>
      <c r="C34" s="30">
        <f t="shared" si="1"/>
        <v>8.2025437968555295</v>
      </c>
      <c r="D34" s="27">
        <f t="shared" si="3"/>
        <v>39839</v>
      </c>
      <c r="E34" s="27"/>
      <c r="F34" s="27"/>
      <c r="G34" s="27"/>
    </row>
    <row r="35" spans="1:7" s="10" customFormat="1" ht="10.199999999999999" x14ac:dyDescent="0.35">
      <c r="A35" s="10">
        <f t="shared" si="2"/>
        <v>27</v>
      </c>
      <c r="B35" s="30">
        <f t="shared" si="0"/>
        <v>-0.32574762508206528</v>
      </c>
      <c r="C35" s="30">
        <f t="shared" si="1"/>
        <v>8.2645279649701813</v>
      </c>
      <c r="D35" s="27">
        <f t="shared" si="3"/>
        <v>39840</v>
      </c>
      <c r="E35" s="27"/>
      <c r="F35" s="27"/>
      <c r="G35" s="27"/>
    </row>
    <row r="36" spans="1:7" s="10" customFormat="1" ht="10.199999999999999" x14ac:dyDescent="0.35">
      <c r="A36" s="10">
        <f t="shared" si="2"/>
        <v>28</v>
      </c>
      <c r="B36" s="30">
        <f t="shared" si="0"/>
        <v>-0.32127082804451779</v>
      </c>
      <c r="C36" s="30">
        <f t="shared" si="1"/>
        <v>8.3274488209016528</v>
      </c>
      <c r="D36" s="27">
        <f t="shared" si="3"/>
        <v>39841</v>
      </c>
      <c r="E36" s="27"/>
      <c r="F36" s="27"/>
      <c r="G36" s="27"/>
    </row>
    <row r="37" spans="1:7" s="10" customFormat="1" ht="10.199999999999999" x14ac:dyDescent="0.35">
      <c r="A37" s="10">
        <f t="shared" si="2"/>
        <v>29</v>
      </c>
      <c r="B37" s="30">
        <f t="shared" si="0"/>
        <v>-0.3166973329215822</v>
      </c>
      <c r="C37" s="30">
        <f t="shared" si="1"/>
        <v>8.3912636798134539</v>
      </c>
      <c r="D37" s="27">
        <f t="shared" si="3"/>
        <v>39842</v>
      </c>
      <c r="E37" s="27"/>
      <c r="F37" s="27"/>
      <c r="G37" s="27"/>
    </row>
    <row r="38" spans="1:7" s="10" customFormat="1" ht="10.199999999999999" x14ac:dyDescent="0.35">
      <c r="A38" s="10">
        <f t="shared" si="2"/>
        <v>30</v>
      </c>
      <c r="B38" s="30">
        <f t="shared" si="0"/>
        <v>-0.31202903422998757</v>
      </c>
      <c r="C38" s="30">
        <f t="shared" si="1"/>
        <v>8.4559309861070435</v>
      </c>
      <c r="D38" s="27">
        <f t="shared" si="3"/>
        <v>39843</v>
      </c>
      <c r="E38" s="27"/>
      <c r="F38" s="27"/>
      <c r="G38" s="27"/>
    </row>
    <row r="39" spans="1:7" s="10" customFormat="1" ht="10.199999999999999" x14ac:dyDescent="0.35">
      <c r="A39" s="10">
        <f t="shared" si="2"/>
        <v>31</v>
      </c>
      <c r="B39" s="30">
        <f t="shared" si="0"/>
        <v>-0.30726784496139742</v>
      </c>
      <c r="C39" s="30">
        <f t="shared" si="1"/>
        <v>8.5214103452126189</v>
      </c>
      <c r="D39" s="27">
        <f t="shared" si="3"/>
        <v>39844</v>
      </c>
      <c r="E39" s="27"/>
      <c r="F39" s="27"/>
      <c r="G39" s="27"/>
    </row>
    <row r="40" spans="1:7" s="10" customFormat="1" ht="10.199999999999999" x14ac:dyDescent="0.35">
      <c r="A40" s="10">
        <f t="shared" si="2"/>
        <v>32</v>
      </c>
      <c r="B40" s="30">
        <f t="shared" si="0"/>
        <v>-0.30241569489962233</v>
      </c>
      <c r="C40" s="30">
        <f t="shared" si="1"/>
        <v>8.5876625485651861</v>
      </c>
      <c r="D40" s="27">
        <f t="shared" si="3"/>
        <v>39845</v>
      </c>
      <c r="E40" s="27"/>
      <c r="F40" s="27"/>
      <c r="G40" s="27"/>
    </row>
    <row r="41" spans="1:7" s="10" customFormat="1" ht="10.199999999999999" x14ac:dyDescent="0.35">
      <c r="A41" s="10">
        <f t="shared" si="2"/>
        <v>33</v>
      </c>
      <c r="B41" s="30">
        <f t="shared" si="0"/>
        <v>-0.29747452898734572</v>
      </c>
      <c r="C41" s="30">
        <f t="shared" si="1"/>
        <v>8.6546495922322091</v>
      </c>
      <c r="D41" s="27">
        <f t="shared" si="3"/>
        <v>39846</v>
      </c>
      <c r="E41" s="27"/>
      <c r="F41" s="27"/>
      <c r="G41" s="27"/>
    </row>
    <row r="42" spans="1:7" s="10" customFormat="1" ht="10.199999999999999" x14ac:dyDescent="0.35">
      <c r="A42" s="10">
        <f t="shared" si="2"/>
        <v>34</v>
      </c>
      <c r="B42" s="30">
        <f t="shared" si="0"/>
        <v>-0.2924463057444362</v>
      </c>
      <c r="C42" s="30">
        <f t="shared" si="1"/>
        <v>8.7223346896569627</v>
      </c>
      <c r="D42" s="27">
        <f t="shared" si="3"/>
        <v>39847</v>
      </c>
      <c r="E42" s="27"/>
      <c r="F42" s="27"/>
      <c r="G42" s="27"/>
    </row>
    <row r="43" spans="1:7" s="10" customFormat="1" ht="10.199999999999999" x14ac:dyDescent="0.35">
      <c r="A43" s="10">
        <f t="shared" si="2"/>
        <v>35</v>
      </c>
      <c r="B43" s="30">
        <f t="shared" si="0"/>
        <v>-0.28733299573963289</v>
      </c>
      <c r="C43" s="30">
        <f t="shared" si="1"/>
        <v>8.7906822789745984</v>
      </c>
      <c r="D43" s="27">
        <f t="shared" si="3"/>
        <v>39848</v>
      </c>
      <c r="E43" s="27"/>
      <c r="F43" s="27"/>
      <c r="G43" s="27"/>
    </row>
    <row r="44" spans="1:7" s="10" customFormat="1" ht="10.199999999999999" x14ac:dyDescent="0.35">
      <c r="A44" s="10">
        <f t="shared" si="2"/>
        <v>36</v>
      </c>
      <c r="B44" s="30">
        <f t="shared" si="0"/>
        <v>-0.28213658011709092</v>
      </c>
      <c r="C44" s="30">
        <f t="shared" si="1"/>
        <v>8.8596580253475441</v>
      </c>
      <c r="D44" s="27">
        <f t="shared" si="3"/>
        <v>39849</v>
      </c>
      <c r="E44" s="27"/>
      <c r="F44" s="27"/>
      <c r="G44" s="27"/>
    </row>
    <row r="45" spans="1:7" s="10" customFormat="1" ht="10.199999999999999" x14ac:dyDescent="0.35">
      <c r="A45" s="10">
        <f t="shared" si="2"/>
        <v>37</v>
      </c>
      <c r="B45" s="30">
        <f t="shared" si="0"/>
        <v>-0.27685904917901016</v>
      </c>
      <c r="C45" s="30">
        <f t="shared" si="1"/>
        <v>8.9292288187529465</v>
      </c>
      <c r="D45" s="27">
        <f t="shared" si="3"/>
        <v>39850</v>
      </c>
      <c r="E45" s="27"/>
      <c r="F45" s="27"/>
      <c r="G45" s="27"/>
    </row>
    <row r="46" spans="1:7" s="10" customFormat="1" ht="10.199999999999999" x14ac:dyDescent="0.35">
      <c r="A46" s="10">
        <f t="shared" si="2"/>
        <v>38</v>
      </c>
      <c r="B46" s="30">
        <f t="shared" si="0"/>
        <v>-0.27150240102529655</v>
      </c>
      <c r="C46" s="30">
        <f t="shared" si="1"/>
        <v>8.9993627676388446</v>
      </c>
      <c r="D46" s="27">
        <f t="shared" si="3"/>
        <v>39851</v>
      </c>
      <c r="E46" s="27"/>
      <c r="F46" s="27"/>
      <c r="G46" s="27"/>
    </row>
    <row r="47" spans="1:7" s="10" customFormat="1" ht="10.199999999999999" x14ac:dyDescent="0.35">
      <c r="A47" s="10">
        <f t="shared" si="2"/>
        <v>39</v>
      </c>
      <c r="B47" s="30">
        <f t="shared" si="0"/>
        <v>-0.26606864025095711</v>
      </c>
      <c r="C47" s="30">
        <f t="shared" si="1"/>
        <v>9.0700291888475952</v>
      </c>
      <c r="D47" s="27">
        <f t="shared" si="3"/>
        <v>39852</v>
      </c>
      <c r="E47" s="27"/>
      <c r="F47" s="27"/>
      <c r="G47" s="27"/>
    </row>
    <row r="48" spans="1:7" s="10" customFormat="1" ht="10.199999999999999" x14ac:dyDescent="0.35">
      <c r="A48" s="10">
        <f t="shared" si="2"/>
        <v>40</v>
      </c>
      <c r="B48" s="30">
        <f t="shared" si="0"/>
        <v>-0.26055977670168745</v>
      </c>
      <c r="C48" s="30">
        <f t="shared" si="1"/>
        <v>9.1411985941856813</v>
      </c>
      <c r="D48" s="27">
        <f t="shared" si="3"/>
        <v>39853</v>
      </c>
      <c r="E48" s="27"/>
      <c r="F48" s="27"/>
      <c r="G48" s="27"/>
    </row>
    <row r="49" spans="1:7" s="10" customFormat="1" ht="10.199999999999999" x14ac:dyDescent="0.35">
      <c r="A49" s="10">
        <f t="shared" si="2"/>
        <v>41</v>
      </c>
      <c r="B49" s="30">
        <f t="shared" si="0"/>
        <v>-0.2549778242878894</v>
      </c>
      <c r="C49" s="30">
        <f t="shared" si="1"/>
        <v>9.2128426739984999</v>
      </c>
      <c r="D49" s="27">
        <f t="shared" si="3"/>
        <v>39854</v>
      </c>
      <c r="E49" s="27"/>
      <c r="F49" s="27"/>
      <c r="G49" s="27"/>
    </row>
    <row r="50" spans="1:7" s="10" customFormat="1" ht="10.199999999999999" x14ac:dyDescent="0.35">
      <c r="A50" s="10">
        <f t="shared" si="2"/>
        <v>42</v>
      </c>
      <c r="B50" s="30">
        <f t="shared" si="0"/>
        <v>-0.24932479985713865</v>
      </c>
      <c r="C50" s="30">
        <f t="shared" si="1"/>
        <v>9.2849342780877215</v>
      </c>
      <c r="D50" s="27">
        <f t="shared" si="3"/>
        <v>39855</v>
      </c>
      <c r="E50" s="27"/>
      <c r="F50" s="27"/>
      <c r="G50" s="27"/>
    </row>
    <row r="51" spans="1:7" s="10" customFormat="1" ht="10.199999999999999" x14ac:dyDescent="0.35">
      <c r="A51" s="10">
        <f t="shared" si="2"/>
        <v>43</v>
      </c>
      <c r="B51" s="30">
        <f t="shared" si="0"/>
        <v>-0.24360272212492995</v>
      </c>
      <c r="C51" s="30">
        <f t="shared" si="1"/>
        <v>9.3574473942874796</v>
      </c>
      <c r="D51" s="27">
        <f t="shared" si="3"/>
        <v>39856</v>
      </c>
      <c r="E51" s="27"/>
      <c r="F51" s="27"/>
      <c r="G51" s="27"/>
    </row>
    <row r="52" spans="1:7" s="10" customFormat="1" ht="10.199999999999999" x14ac:dyDescent="0.35">
      <c r="A52" s="10">
        <f t="shared" si="2"/>
        <v>44</v>
      </c>
      <c r="B52" s="30">
        <f t="shared" si="0"/>
        <v>-0.2378136106633385</v>
      </c>
      <c r="C52" s="30">
        <f t="shared" si="1"/>
        <v>9.4303571249943108</v>
      </c>
      <c r="D52" s="27">
        <f t="shared" si="3"/>
        <v>39857</v>
      </c>
      <c r="E52" s="27"/>
      <c r="F52" s="27"/>
      <c r="G52" s="27"/>
    </row>
    <row r="53" spans="1:7" s="10" customFormat="1" ht="10.199999999999999" x14ac:dyDescent="0.35">
      <c r="A53" s="10">
        <f t="shared" si="2"/>
        <v>45</v>
      </c>
      <c r="B53" s="30">
        <f t="shared" si="0"/>
        <v>-0.23195948494707166</v>
      </c>
      <c r="C53" s="30">
        <f t="shared" si="1"/>
        <v>9.5036396619246304</v>
      </c>
      <c r="D53" s="27">
        <f t="shared" si="3"/>
        <v>39858</v>
      </c>
      <c r="E53" s="27"/>
      <c r="F53" s="27"/>
      <c r="G53" s="27"/>
    </row>
    <row r="54" spans="1:7" s="10" customFormat="1" ht="10.199999999999999" x14ac:dyDescent="0.35">
      <c r="A54" s="10">
        <f t="shared" si="2"/>
        <v>46</v>
      </c>
      <c r="B54" s="30">
        <f t="shared" si="0"/>
        <v>-0.22604236345622544</v>
      </c>
      <c r="C54" s="30">
        <f t="shared" si="1"/>
        <v>9.5772722593529256</v>
      </c>
      <c r="D54" s="27">
        <f t="shared" si="3"/>
        <v>39859</v>
      </c>
      <c r="E54" s="27"/>
      <c r="F54" s="27"/>
      <c r="G54" s="27"/>
    </row>
    <row r="55" spans="1:7" s="10" customFormat="1" ht="10.199999999999999" x14ac:dyDescent="0.35">
      <c r="A55" s="10">
        <f t="shared" si="2"/>
        <v>47</v>
      </c>
      <c r="B55" s="30">
        <f t="shared" si="0"/>
        <v>-0.22006426283491887</v>
      </c>
      <c r="C55" s="30">
        <f t="shared" si="1"/>
        <v>9.6512332060636421</v>
      </c>
      <c r="D55" s="27">
        <f t="shared" si="3"/>
        <v>39860</v>
      </c>
      <c r="E55" s="27"/>
      <c r="F55" s="27"/>
      <c r="G55" s="27"/>
    </row>
    <row r="56" spans="1:7" s="10" customFormat="1" ht="10.199999999999999" x14ac:dyDescent="0.35">
      <c r="A56" s="10">
        <f t="shared" si="2"/>
        <v>48</v>
      </c>
      <c r="B56" s="30">
        <f t="shared" si="0"/>
        <v>-0.21402719710485135</v>
      </c>
      <c r="C56" s="30">
        <f t="shared" si="1"/>
        <v>9.7255017962303807</v>
      </c>
      <c r="D56" s="27">
        <f t="shared" si="3"/>
        <v>39861</v>
      </c>
      <c r="E56" s="27"/>
      <c r="F56" s="27"/>
      <c r="G56" s="27"/>
    </row>
    <row r="57" spans="1:7" s="10" customFormat="1" ht="10.199999999999999" x14ac:dyDescent="0.35">
      <c r="A57" s="10">
        <f t="shared" si="2"/>
        <v>49</v>
      </c>
      <c r="B57" s="30">
        <f t="shared" si="0"/>
        <v>-0.20793317693271399</v>
      </c>
      <c r="C57" s="30">
        <f t="shared" si="1"/>
        <v>9.8000582994172749</v>
      </c>
      <c r="D57" s="27">
        <f t="shared" si="3"/>
        <v>39862</v>
      </c>
      <c r="E57" s="27"/>
      <c r="F57" s="27"/>
      <c r="G57" s="27"/>
    </row>
    <row r="58" spans="1:7" s="10" customFormat="1" ht="10.199999999999999" x14ac:dyDescent="0.35">
      <c r="A58" s="10">
        <f t="shared" si="2"/>
        <v>50</v>
      </c>
      <c r="B58" s="30">
        <f t="shared" si="0"/>
        <v>-0.20178420895027552</v>
      </c>
      <c r="C58" s="30">
        <f t="shared" si="1"/>
        <v>9.8748839298797293</v>
      </c>
      <c r="D58" s="27">
        <f t="shared" si="3"/>
        <v>39863</v>
      </c>
      <c r="E58" s="27"/>
      <c r="F58" s="27"/>
      <c r="G58" s="27"/>
    </row>
    <row r="59" spans="1:7" s="10" customFormat="1" ht="10.199999999999999" x14ac:dyDescent="0.35">
      <c r="A59" s="10">
        <f t="shared" si="2"/>
        <v>51</v>
      </c>
      <c r="B59" s="30">
        <f t="shared" si="0"/>
        <v>-0.19558229512587941</v>
      </c>
      <c r="C59" s="30">
        <f t="shared" si="1"/>
        <v>9.9499608153246868</v>
      </c>
      <c r="D59" s="27">
        <f t="shared" si="3"/>
        <v>39864</v>
      </c>
      <c r="E59" s="27"/>
      <c r="F59" s="27"/>
      <c r="G59" s="27"/>
    </row>
    <row r="60" spans="1:7" s="10" customFormat="1" ht="10.199999999999999" x14ac:dyDescent="0.35">
      <c r="A60" s="10">
        <f t="shared" si="2"/>
        <v>52</v>
      </c>
      <c r="B60" s="30">
        <f t="shared" si="0"/>
        <v>-0.18932943218600487</v>
      </c>
      <c r="C60" s="30">
        <f t="shared" si="1"/>
        <v>10.025271965274614</v>
      </c>
      <c r="D60" s="27">
        <f t="shared" si="3"/>
        <v>39865</v>
      </c>
      <c r="E60" s="27"/>
      <c r="F60" s="27"/>
      <c r="G60" s="27"/>
    </row>
    <row r="61" spans="1:7" s="10" customFormat="1" ht="10.199999999999999" x14ac:dyDescent="0.35">
      <c r="A61" s="10">
        <f t="shared" si="2"/>
        <v>53</v>
      </c>
      <c r="B61" s="30">
        <f t="shared" si="0"/>
        <v>-0.18302761108547294</v>
      </c>
      <c r="C61" s="30">
        <f t="shared" si="1"/>
        <v>10.100801239164353</v>
      </c>
      <c r="D61" s="27">
        <f t="shared" si="3"/>
        <v>39866</v>
      </c>
      <c r="E61" s="27"/>
      <c r="F61" s="27"/>
      <c r="G61" s="27"/>
    </row>
    <row r="62" spans="1:7" s="10" customFormat="1" ht="10.199999999999999" x14ac:dyDescent="0.35">
      <c r="A62" s="10">
        <f t="shared" si="2"/>
        <v>54</v>
      </c>
      <c r="B62" s="30">
        <f t="shared" si="0"/>
        <v>-0.17667881652482589</v>
      </c>
      <c r="C62" s="30">
        <f t="shared" si="1"/>
        <v>10.17653331428577</v>
      </c>
      <c r="D62" s="27">
        <f t="shared" si="3"/>
        <v>39867</v>
      </c>
      <c r="E62" s="27"/>
      <c r="F62" s="27"/>
      <c r="G62" s="27"/>
    </row>
    <row r="63" spans="1:7" s="10" customFormat="1" ht="10.199999999999999" x14ac:dyDescent="0.35">
      <c r="A63" s="10">
        <f t="shared" si="2"/>
        <v>55</v>
      </c>
      <c r="B63" s="30">
        <f t="shared" si="0"/>
        <v>-0.17028502651334607</v>
      </c>
      <c r="C63" s="30">
        <f t="shared" si="1"/>
        <v>10.252453653682053</v>
      </c>
      <c r="D63" s="27">
        <f t="shared" si="3"/>
        <v>39868</v>
      </c>
      <c r="E63" s="27"/>
      <c r="F63" s="27"/>
      <c r="G63" s="27"/>
    </row>
    <row r="64" spans="1:7" s="10" customFormat="1" ht="10.199999999999999" x14ac:dyDescent="0.35">
      <c r="A64" s="10">
        <f t="shared" si="2"/>
        <v>56</v>
      </c>
      <c r="B64" s="30">
        <f t="shared" si="0"/>
        <v>-0.1638482119761564</v>
      </c>
      <c r="C64" s="30">
        <f t="shared" si="1"/>
        <v>10.328548474080918</v>
      </c>
      <c r="D64" s="27">
        <f t="shared" si="3"/>
        <v>39869</v>
      </c>
      <c r="E64" s="27"/>
      <c r="F64" s="27"/>
      <c r="G64" s="27"/>
    </row>
    <row r="65" spans="1:7" s="10" customFormat="1" ht="10.199999999999999" x14ac:dyDescent="0.35">
      <c r="A65" s="10">
        <f t="shared" si="2"/>
        <v>57</v>
      </c>
      <c r="B65" s="30">
        <f t="shared" si="0"/>
        <v>-0.15737033640379361</v>
      </c>
      <c r="C65" s="30">
        <f t="shared" si="1"/>
        <v>10.404804713944888</v>
      </c>
      <c r="D65" s="27">
        <f t="shared" si="3"/>
        <v>39870</v>
      </c>
      <c r="E65" s="27"/>
      <c r="F65" s="27"/>
      <c r="G65" s="27"/>
    </row>
    <row r="66" spans="1:7" s="10" customFormat="1" ht="10.199999999999999" x14ac:dyDescent="0.35">
      <c r="A66" s="10">
        <f t="shared" si="2"/>
        <v>58</v>
      </c>
      <c r="B66" s="30">
        <f t="shared" si="0"/>
        <v>-0.15085335554263429</v>
      </c>
      <c r="C66" s="30">
        <f t="shared" si="1"/>
        <v>10.481210001705829</v>
      </c>
      <c r="D66" s="27">
        <f t="shared" si="3"/>
        <v>39871</v>
      </c>
      <c r="E66" s="27"/>
      <c r="F66" s="27"/>
      <c r="G66" s="27"/>
    </row>
    <row r="67" spans="1:7" s="10" customFormat="1" ht="10.199999999999999" x14ac:dyDescent="0.35">
      <c r="A67" s="10">
        <f t="shared" si="2"/>
        <v>59</v>
      </c>
      <c r="B67" s="30">
        <f t="shared" si="0"/>
        <v>-0.14429921712452506</v>
      </c>
      <c r="C67" s="30">
        <f t="shared" si="1"/>
        <v>10.557752624241449</v>
      </c>
      <c r="D67" s="27">
        <f t="shared" si="3"/>
        <v>39872</v>
      </c>
      <c r="E67" s="27"/>
      <c r="F67" s="27"/>
      <c r="G67" s="27"/>
    </row>
    <row r="68" spans="1:7" s="10" customFormat="1" ht="10.199999999999999" x14ac:dyDescent="0.35">
      <c r="A68" s="10">
        <f t="shared" si="2"/>
        <v>60</v>
      </c>
      <c r="B68" s="30">
        <f t="shared" si="0"/>
        <v>-0.13770986063396565</v>
      </c>
      <c r="C68" s="30">
        <f t="shared" si="1"/>
        <v>10.634421495642151</v>
      </c>
      <c r="D68" s="27">
        <f t="shared" si="3"/>
        <v>39873</v>
      </c>
      <c r="E68" s="27"/>
      <c r="F68" s="27"/>
      <c r="G68" s="27"/>
    </row>
    <row r="69" spans="1:7" s="10" customFormat="1" ht="10.199999999999999" x14ac:dyDescent="0.35">
      <c r="A69" s="10">
        <f t="shared" si="2"/>
        <v>61</v>
      </c>
      <c r="B69" s="30">
        <f t="shared" si="0"/>
        <v>-0.13108721711117857</v>
      </c>
      <c r="C69" s="30">
        <f t="shared" si="1"/>
        <v>10.71120612630858</v>
      </c>
      <c r="D69" s="27">
        <f t="shared" si="3"/>
        <v>39874</v>
      </c>
      <c r="E69" s="27"/>
      <c r="F69" s="27"/>
      <c r="G69" s="27"/>
    </row>
    <row r="70" spans="1:7" s="10" customFormat="1" ht="10.199999999999999" x14ac:dyDescent="0.35">
      <c r="A70" s="10">
        <f t="shared" si="2"/>
        <v>62</v>
      </c>
      <c r="B70" s="30">
        <f t="shared" si="0"/>
        <v>-0.12443320898940256</v>
      </c>
      <c r="C70" s="30">
        <f t="shared" si="1"/>
        <v>10.788096592412435</v>
      </c>
      <c r="D70" s="27">
        <f t="shared" si="3"/>
        <v>39875</v>
      </c>
      <c r="E70" s="27"/>
      <c r="F70" s="27"/>
      <c r="G70" s="27"/>
    </row>
    <row r="71" spans="1:7" s="10" customFormat="1" ht="10.199999999999999" x14ac:dyDescent="0.35">
      <c r="A71" s="10">
        <f t="shared" si="2"/>
        <v>63</v>
      </c>
      <c r="B71" s="30">
        <f t="shared" si="0"/>
        <v>-0.11774974996475297</v>
      </c>
      <c r="C71" s="30">
        <f t="shared" si="1"/>
        <v>10.865083505746176</v>
      </c>
      <c r="D71" s="27">
        <f t="shared" si="3"/>
        <v>39876</v>
      </c>
      <c r="E71" s="27"/>
      <c r="F71" s="27"/>
      <c r="G71" s="27"/>
    </row>
    <row r="72" spans="1:7" s="10" customFormat="1" ht="10.199999999999999" x14ac:dyDescent="0.35">
      <c r="A72" s="10">
        <f t="shared" si="2"/>
        <v>64</v>
      </c>
      <c r="B72" s="30">
        <f t="shared" si="0"/>
        <v>-0.11103874489699148</v>
      </c>
      <c r="C72" s="30">
        <f t="shared" si="1"/>
        <v>10.942157983981071</v>
      </c>
      <c r="D72" s="27">
        <f t="shared" si="3"/>
        <v>39877</v>
      </c>
      <c r="E72" s="27"/>
      <c r="F72" s="27"/>
      <c r="G72" s="27"/>
    </row>
    <row r="73" spans="1:7" s="10" customFormat="1" ht="10.199999999999999" x14ac:dyDescent="0.35">
      <c r="A73" s="10">
        <f t="shared" si="2"/>
        <v>65</v>
      </c>
      <c r="B73" s="30">
        <f t="shared" ref="B73:B136" si="5">ASIN(0.39795*COS(0.2163108+2*ATAN(0.9671396*TAN(0.0086*(A73-186)))))</f>
        <v>-0.10430208973957018</v>
      </c>
      <c r="C73" s="30">
        <f t="shared" ref="C73:C136" si="6">24-(24/PI())*ACOS((SIN(0.8333*PI()/180)+SIN($B$4*PI()/180)*SIN(B73))/(COS($B$4*PI()/180)*COS(B73)))</f>
        <v>11.019311621346993</v>
      </c>
      <c r="D73" s="27">
        <f t="shared" si="3"/>
        <v>39878</v>
      </c>
      <c r="E73" s="27"/>
      <c r="F73" s="27"/>
      <c r="G73" s="27"/>
    </row>
    <row r="74" spans="1:7" s="10" customFormat="1" ht="10.199999999999999" x14ac:dyDescent="0.35">
      <c r="A74" s="10">
        <f t="shared" ref="A74:A137" si="7">A73+1</f>
        <v>66</v>
      </c>
      <c r="B74" s="30">
        <f t="shared" si="5"/>
        <v>-9.7541671497316948E-2</v>
      </c>
      <c r="C74" s="30">
        <f t="shared" si="6"/>
        <v>11.096536459742461</v>
      </c>
      <c r="D74" s="27">
        <f t="shared" ref="D74:D137" si="8">D73+1</f>
        <v>39879</v>
      </c>
      <c r="E74" s="27"/>
      <c r="F74" s="27"/>
      <c r="G74" s="27"/>
    </row>
    <row r="75" spans="1:7" s="10" customFormat="1" ht="10.199999999999999" x14ac:dyDescent="0.35">
      <c r="A75" s="10">
        <f t="shared" si="7"/>
        <v>67</v>
      </c>
      <c r="B75" s="30">
        <f t="shared" si="5"/>
        <v>-9.0759368210158148E-2</v>
      </c>
      <c r="C75" s="30">
        <f t="shared" si="6"/>
        <v>11.17382496027839</v>
      </c>
      <c r="D75" s="27">
        <f t="shared" si="8"/>
        <v>39880</v>
      </c>
      <c r="E75" s="27"/>
      <c r="F75" s="27"/>
      <c r="G75" s="27"/>
    </row>
    <row r="76" spans="1:7" s="10" customFormat="1" ht="10.199999999999999" x14ac:dyDescent="0.35">
      <c r="A76" s="10">
        <f t="shared" si="7"/>
        <v>68</v>
      </c>
      <c r="B76" s="30">
        <f t="shared" si="5"/>
        <v>-8.3957048961284669E-2</v>
      </c>
      <c r="C76" s="30">
        <f t="shared" si="6"/>
        <v>11.251169975254978</v>
      </c>
      <c r="D76" s="27">
        <f t="shared" si="8"/>
        <v>39881</v>
      </c>
      <c r="E76" s="27"/>
      <c r="F76" s="27"/>
      <c r="G76" s="27"/>
    </row>
    <row r="77" spans="1:7" s="10" customFormat="1" ht="10.199999999999999" x14ac:dyDescent="0.35">
      <c r="A77" s="10">
        <f t="shared" si="7"/>
        <v>69</v>
      </c>
      <c r="B77" s="30">
        <f t="shared" si="5"/>
        <v>-7.713657390819266E-2</v>
      </c>
      <c r="C77" s="30">
        <f t="shared" si="6"/>
        <v>11.328564720567199</v>
      </c>
      <c r="D77" s="27">
        <f t="shared" si="8"/>
        <v>39882</v>
      </c>
      <c r="E77" s="27"/>
      <c r="F77" s="27"/>
      <c r="G77" s="27"/>
    </row>
    <row r="78" spans="1:7" s="10" customFormat="1" ht="10.199999999999999" x14ac:dyDescent="0.35">
      <c r="A78" s="10">
        <f t="shared" si="7"/>
        <v>70</v>
      </c>
      <c r="B78" s="30">
        <f t="shared" si="5"/>
        <v>-7.0299794335051582E-2</v>
      </c>
      <c r="C78" s="30">
        <f t="shared" si="6"/>
        <v>11.406002748530986</v>
      </c>
      <c r="D78" s="27">
        <f t="shared" si="8"/>
        <v>39883</v>
      </c>
      <c r="E78" s="27"/>
      <c r="F78" s="27"/>
      <c r="G78" s="27"/>
    </row>
    <row r="79" spans="1:7" s="10" customFormat="1" ht="10.199999999999999" x14ac:dyDescent="0.35">
      <c r="A79" s="10">
        <f t="shared" si="7"/>
        <v>71</v>
      </c>
      <c r="B79" s="30">
        <f t="shared" si="5"/>
        <v>-6.3448552724877982E-2</v>
      </c>
      <c r="C79" s="30">
        <f t="shared" si="6"/>
        <v>11.483477921119063</v>
      </c>
      <c r="D79" s="27">
        <f t="shared" si="8"/>
        <v>39884</v>
      </c>
      <c r="E79" s="27"/>
      <c r="F79" s="27"/>
      <c r="G79" s="27"/>
    </row>
    <row r="80" spans="1:7" s="10" customFormat="1" ht="10.199999999999999" x14ac:dyDescent="0.35">
      <c r="A80" s="10">
        <f t="shared" si="7"/>
        <v>72</v>
      </c>
      <c r="B80" s="30">
        <f t="shared" si="5"/>
        <v>-5.6584682850013432E-2</v>
      </c>
      <c r="C80" s="30">
        <f t="shared" si="6"/>
        <v>11.560984383592757</v>
      </c>
      <c r="D80" s="27">
        <f t="shared" si="8"/>
        <v>39885</v>
      </c>
      <c r="E80" s="27"/>
      <c r="F80" s="27"/>
      <c r="G80" s="27"/>
    </row>
    <row r="81" spans="1:7" s="10" customFormat="1" ht="10.199999999999999" x14ac:dyDescent="0.35">
      <c r="A81" s="10">
        <f t="shared" si="7"/>
        <v>73</v>
      </c>
      <c r="B81" s="30">
        <f t="shared" si="5"/>
        <v>-4.9710009879434795E-2</v>
      </c>
      <c r="C81" s="30">
        <f t="shared" si="6"/>
        <v>11.638516538513622</v>
      </c>
      <c r="D81" s="27">
        <f t="shared" si="8"/>
        <v>39886</v>
      </c>
      <c r="E81" s="27"/>
      <c r="F81" s="27"/>
      <c r="G81" s="27"/>
    </row>
    <row r="82" spans="1:7" s="10" customFormat="1" ht="10.199999999999999" x14ac:dyDescent="0.35">
      <c r="A82" s="10">
        <f t="shared" si="7"/>
        <v>74</v>
      </c>
      <c r="B82" s="30">
        <f t="shared" si="5"/>
        <v>-4.2826350501447133E-2</v>
      </c>
      <c r="C82" s="30">
        <f t="shared" si="6"/>
        <v>11.716069020116615</v>
      </c>
      <c r="D82" s="27">
        <f t="shared" si="8"/>
        <v>39887</v>
      </c>
      <c r="E82" s="27"/>
      <c r="F82" s="27"/>
      <c r="G82" s="27"/>
    </row>
    <row r="83" spans="1:7" s="10" customFormat="1" ht="10.199999999999999" x14ac:dyDescent="0.35">
      <c r="A83" s="10">
        <f t="shared" si="7"/>
        <v>75</v>
      </c>
      <c r="B83" s="30">
        <f t="shared" si="5"/>
        <v>-3.5935513060334934E-2</v>
      </c>
      <c r="C83" s="30">
        <f t="shared" si="6"/>
        <v>11.793636669024746</v>
      </c>
      <c r="D83" s="27">
        <f t="shared" si="8"/>
        <v>39888</v>
      </c>
      <c r="E83" s="27"/>
      <c r="F83" s="27"/>
      <c r="G83" s="27"/>
    </row>
    <row r="84" spans="1:7" s="10" customFormat="1" ht="10.199999999999999" x14ac:dyDescent="0.35">
      <c r="A84" s="10">
        <f t="shared" si="7"/>
        <v>76</v>
      </c>
      <c r="B84" s="30">
        <f t="shared" si="5"/>
        <v>-2.9039297705575597E-2</v>
      </c>
      <c r="C84" s="30">
        <f t="shared" si="6"/>
        <v>11.871214507283446</v>
      </c>
      <c r="D84" s="27">
        <f t="shared" si="8"/>
        <v>39889</v>
      </c>
      <c r="E84" s="27"/>
      <c r="F84" s="27"/>
      <c r="G84" s="27"/>
    </row>
    <row r="85" spans="1:7" s="10" customFormat="1" ht="10.199999999999999" x14ac:dyDescent="0.35">
      <c r="A85" s="10">
        <f t="shared" si="7"/>
        <v>77</v>
      </c>
      <c r="B85" s="30">
        <f t="shared" si="5"/>
        <v>-2.213949655223783E-2</v>
      </c>
      <c r="C85" s="30">
        <f t="shared" si="6"/>
        <v>11.94879771369164</v>
      </c>
      <c r="D85" s="27">
        <f t="shared" si="8"/>
        <v>39890</v>
      </c>
      <c r="E85" s="27"/>
      <c r="F85" s="27"/>
      <c r="G85" s="27"/>
    </row>
    <row r="86" spans="1:7" s="10" customFormat="1" ht="10.199999999999999" x14ac:dyDescent="0.35">
      <c r="A86" s="10">
        <f t="shared" si="7"/>
        <v>78</v>
      </c>
      <c r="B86" s="30">
        <f t="shared" si="5"/>
        <v>-1.5237893851218381E-2</v>
      </c>
      <c r="C86" s="30">
        <f t="shared" si="6"/>
        <v>12.026381599405235</v>
      </c>
      <c r="D86" s="27">
        <f t="shared" si="8"/>
        <v>39891</v>
      </c>
      <c r="E86" s="27"/>
      <c r="F86" s="27"/>
      <c r="G86" s="27"/>
    </row>
    <row r="87" spans="1:7" s="10" customFormat="1" ht="10.199999999999999" x14ac:dyDescent="0.35">
      <c r="A87" s="10">
        <f t="shared" si="7"/>
        <v>79</v>
      </c>
      <c r="B87" s="30">
        <f t="shared" si="5"/>
        <v>-8.3362661679892199E-3</v>
      </c>
      <c r="C87" s="30">
        <f t="shared" si="6"/>
        <v>12.103961583787846</v>
      </c>
      <c r="D87" s="27">
        <f t="shared" si="8"/>
        <v>39892</v>
      </c>
      <c r="E87" s="27"/>
      <c r="F87" s="27"/>
      <c r="G87" s="27"/>
    </row>
    <row r="88" spans="1:7" s="10" customFormat="1" ht="10.199999999999999" x14ac:dyDescent="0.35">
      <c r="A88" s="10">
        <f t="shared" si="7"/>
        <v>80</v>
      </c>
      <c r="B88" s="30">
        <f t="shared" si="5"/>
        <v>-1.4363825685515439E-3</v>
      </c>
      <c r="C88" s="30">
        <f t="shared" si="6"/>
        <v>12.18153317048278</v>
      </c>
      <c r="D88" s="27">
        <f t="shared" si="8"/>
        <v>39893</v>
      </c>
      <c r="E88" s="27"/>
      <c r="F88" s="27"/>
      <c r="G88" s="27"/>
    </row>
    <row r="89" spans="1:7" s="10" customFormat="1" ht="10.199999999999999" x14ac:dyDescent="0.35">
      <c r="A89" s="10">
        <f t="shared" si="7"/>
        <v>81</v>
      </c>
      <c r="B89" s="30">
        <f t="shared" si="5"/>
        <v>5.4599951886842163E-3</v>
      </c>
      <c r="C89" s="30">
        <f t="shared" si="6"/>
        <v>12.259091923679733</v>
      </c>
      <c r="D89" s="27">
        <f t="shared" si="8"/>
        <v>39894</v>
      </c>
      <c r="E89" s="27"/>
      <c r="F89" s="27"/>
      <c r="G89" s="27"/>
    </row>
    <row r="90" spans="1:7" s="10" customFormat="1" ht="10.199999999999999" x14ac:dyDescent="0.35">
      <c r="A90" s="10">
        <f t="shared" si="7"/>
        <v>82</v>
      </c>
      <c r="B90" s="30">
        <f t="shared" si="5"/>
        <v>1.2351112456354419E-2</v>
      </c>
      <c r="C90" s="30">
        <f t="shared" si="6"/>
        <v>12.336633444549182</v>
      </c>
      <c r="D90" s="27">
        <f t="shared" si="8"/>
        <v>39895</v>
      </c>
      <c r="E90" s="27"/>
      <c r="F90" s="27"/>
      <c r="G90" s="27"/>
    </row>
    <row r="91" spans="1:7" s="10" customFormat="1" ht="10.199999999999999" x14ac:dyDescent="0.35">
      <c r="A91" s="10">
        <f t="shared" si="7"/>
        <v>83</v>
      </c>
      <c r="B91" s="30">
        <f t="shared" si="5"/>
        <v>1.9235221498175616E-2</v>
      </c>
      <c r="C91" s="30">
        <f t="shared" si="6"/>
        <v>12.414153347817168</v>
      </c>
      <c r="D91" s="27">
        <f t="shared" si="8"/>
        <v>39896</v>
      </c>
      <c r="E91" s="27"/>
      <c r="F91" s="27"/>
      <c r="G91" s="27"/>
    </row>
    <row r="92" spans="1:7" s="10" customFormat="1" ht="10.199999999999999" x14ac:dyDescent="0.35">
      <c r="A92" s="10">
        <f t="shared" si="7"/>
        <v>84</v>
      </c>
      <c r="B92" s="30">
        <f t="shared" si="5"/>
        <v>2.6110581286776003E-2</v>
      </c>
      <c r="C92" s="30">
        <f t="shared" si="6"/>
        <v>12.491647238453103</v>
      </c>
      <c r="D92" s="27">
        <f t="shared" si="8"/>
        <v>39897</v>
      </c>
      <c r="E92" s="27"/>
      <c r="F92" s="27"/>
      <c r="G92" s="27"/>
    </row>
    <row r="93" spans="1:7" s="10" customFormat="1" ht="10.199999999999999" x14ac:dyDescent="0.35">
      <c r="A93" s="10">
        <f t="shared" si="7"/>
        <v>85</v>
      </c>
      <c r="B93" s="30">
        <f t="shared" si="5"/>
        <v>3.2975457300531918E-2</v>
      </c>
      <c r="C93" s="30">
        <f t="shared" si="6"/>
        <v>12.569110688443173</v>
      </c>
      <c r="D93" s="27">
        <f t="shared" si="8"/>
        <v>39898</v>
      </c>
      <c r="E93" s="27"/>
      <c r="F93" s="27"/>
      <c r="G93" s="27"/>
    </row>
    <row r="94" spans="1:7" s="10" customFormat="1" ht="10.199999999999999" x14ac:dyDescent="0.35">
      <c r="A94" s="10">
        <f t="shared" si="7"/>
        <v>86</v>
      </c>
      <c r="B94" s="30">
        <f t="shared" si="5"/>
        <v>3.9828121320597591E-2</v>
      </c>
      <c r="C94" s="30">
        <f t="shared" si="6"/>
        <v>12.646539213622127</v>
      </c>
      <c r="D94" s="27">
        <f t="shared" si="8"/>
        <v>39899</v>
      </c>
      <c r="E94" s="27"/>
      <c r="F94" s="27"/>
      <c r="G94" s="27"/>
    </row>
    <row r="95" spans="1:7" s="10" customFormat="1" ht="10.199999999999999" x14ac:dyDescent="0.35">
      <c r="A95" s="10">
        <f t="shared" si="7"/>
        <v>87</v>
      </c>
      <c r="B95" s="30">
        <f t="shared" si="5"/>
        <v>4.6666851229297958E-2</v>
      </c>
      <c r="C95" s="30">
        <f t="shared" si="6"/>
        <v>12.723928250536472</v>
      </c>
      <c r="D95" s="27">
        <f t="shared" si="8"/>
        <v>39900</v>
      </c>
      <c r="E95" s="27"/>
      <c r="F95" s="27"/>
      <c r="G95" s="27"/>
    </row>
    <row r="96" spans="1:7" s="10" customFormat="1" ht="10.199999999999999" x14ac:dyDescent="0.35">
      <c r="A96" s="10">
        <f t="shared" si="7"/>
        <v>88</v>
      </c>
      <c r="B96" s="30">
        <f t="shared" si="5"/>
        <v>5.3489930811048164E-2</v>
      </c>
      <c r="C96" s="30">
        <f t="shared" si="6"/>
        <v>12.801273133312641</v>
      </c>
      <c r="D96" s="27">
        <f t="shared" si="8"/>
        <v>39901</v>
      </c>
      <c r="E96" s="27"/>
      <c r="F96" s="27"/>
      <c r="G96" s="27"/>
    </row>
    <row r="97" spans="1:7" s="10" customFormat="1" ht="10.199999999999999" x14ac:dyDescent="0.35">
      <c r="A97" s="10">
        <f t="shared" si="7"/>
        <v>89</v>
      </c>
      <c r="B97" s="30">
        <f t="shared" si="5"/>
        <v>6.0295649556938738E-2</v>
      </c>
      <c r="C97" s="30">
        <f t="shared" si="6"/>
        <v>12.878569070504122</v>
      </c>
      <c r="D97" s="27">
        <f t="shared" si="8"/>
        <v>39902</v>
      </c>
      <c r="E97" s="27"/>
      <c r="F97" s="27"/>
      <c r="G97" s="27"/>
    </row>
    <row r="98" spans="1:7" s="10" customFormat="1" ht="10.199999999999999" x14ac:dyDescent="0.35">
      <c r="A98" s="10">
        <f t="shared" si="7"/>
        <v>90</v>
      </c>
      <c r="B98" s="30">
        <f t="shared" si="5"/>
        <v>6.7082302474124111E-2</v>
      </c>
      <c r="C98" s="30">
        <f t="shared" si="6"/>
        <v>12.955811121892422</v>
      </c>
      <c r="D98" s="27">
        <f t="shared" si="8"/>
        <v>39903</v>
      </c>
      <c r="E98" s="27"/>
      <c r="F98" s="27"/>
      <c r="G98" s="27"/>
    </row>
    <row r="99" spans="1:7" s="10" customFormat="1" ht="10.199999999999999" x14ac:dyDescent="0.35">
      <c r="A99" s="10">
        <f t="shared" si="7"/>
        <v>91</v>
      </c>
      <c r="B99" s="30">
        <f t="shared" si="5"/>
        <v>7.384818990113233E-2</v>
      </c>
      <c r="C99" s="30">
        <f t="shared" si="6"/>
        <v>13.032994175217471</v>
      </c>
      <c r="D99" s="27">
        <f t="shared" si="8"/>
        <v>39904</v>
      </c>
      <c r="E99" s="27"/>
      <c r="F99" s="27"/>
      <c r="G99" s="27"/>
    </row>
    <row r="100" spans="1:7" s="10" customFormat="1" ht="10.199999999999999" x14ac:dyDescent="0.35">
      <c r="A100" s="10">
        <f t="shared" si="7"/>
        <v>92</v>
      </c>
      <c r="B100" s="30">
        <f t="shared" si="5"/>
        <v>8.0591617330206269E-2</v>
      </c>
      <c r="C100" s="30">
        <f t="shared" si="6"/>
        <v>13.110112922814155</v>
      </c>
      <c r="D100" s="27">
        <f t="shared" si="8"/>
        <v>39905</v>
      </c>
      <c r="E100" s="27"/>
      <c r="F100" s="27"/>
      <c r="G100" s="27"/>
    </row>
    <row r="101" spans="1:7" s="10" customFormat="1" ht="10.199999999999999" x14ac:dyDescent="0.35">
      <c r="A101" s="10">
        <f t="shared" si="7"/>
        <v>93</v>
      </c>
      <c r="B101" s="30">
        <f t="shared" si="5"/>
        <v>8.7310895237778102E-2</v>
      </c>
      <c r="C101" s="30">
        <f t="shared" si="6"/>
        <v>13.187161838132861</v>
      </c>
      <c r="D101" s="27">
        <f t="shared" si="8"/>
        <v>39906</v>
      </c>
      <c r="E101" s="27"/>
      <c r="F101" s="27"/>
      <c r="G101" s="27"/>
    </row>
    <row r="102" spans="1:7" s="10" customFormat="1" ht="10.199999999999999" x14ac:dyDescent="0.35">
      <c r="A102" s="10">
        <f t="shared" si="7"/>
        <v>94</v>
      </c>
      <c r="B102" s="30">
        <f t="shared" si="5"/>
        <v>9.4004338924164668E-2</v>
      </c>
      <c r="C102" s="30">
        <f t="shared" si="6"/>
        <v>13.264135152123169</v>
      </c>
      <c r="D102" s="27">
        <f t="shared" si="8"/>
        <v>39907</v>
      </c>
      <c r="E102" s="27"/>
      <c r="F102" s="27"/>
      <c r="G102" s="27"/>
    </row>
    <row r="103" spans="1:7" s="10" customFormat="1" ht="10.199999999999999" x14ac:dyDescent="0.35">
      <c r="A103" s="10">
        <f t="shared" si="7"/>
        <v>95</v>
      </c>
      <c r="B103" s="30">
        <f t="shared" si="5"/>
        <v>0.10067026836356739</v>
      </c>
      <c r="C103" s="30">
        <f t="shared" si="6"/>
        <v>13.341026829461462</v>
      </c>
      <c r="D103" s="27">
        <f t="shared" si="8"/>
        <v>39908</v>
      </c>
      <c r="E103" s="27"/>
      <c r="F103" s="27"/>
      <c r="G103" s="27"/>
    </row>
    <row r="104" spans="1:7" s="10" customFormat="1" ht="10.199999999999999" x14ac:dyDescent="0.35">
      <c r="A104" s="10">
        <f t="shared" si="7"/>
        <v>96</v>
      </c>
      <c r="B104" s="30">
        <f t="shared" si="5"/>
        <v>0.10730700806544721</v>
      </c>
      <c r="C104" s="30">
        <f t="shared" si="6"/>
        <v>13.417830544604872</v>
      </c>
      <c r="D104" s="27">
        <f t="shared" si="8"/>
        <v>39909</v>
      </c>
      <c r="E104" s="27"/>
      <c r="F104" s="27"/>
      <c r="G104" s="27"/>
    </row>
    <row r="105" spans="1:7" s="10" customFormat="1" ht="10.199999999999999" x14ac:dyDescent="0.35">
      <c r="A105" s="10">
        <f t="shared" si="7"/>
        <v>97</v>
      </c>
      <c r="B105" s="30">
        <f t="shared" si="5"/>
        <v>0.11391288694833986</v>
      </c>
      <c r="C105" s="30">
        <f t="shared" si="6"/>
        <v>13.494539657655862</v>
      </c>
      <c r="D105" s="27">
        <f t="shared" si="8"/>
        <v>39910</v>
      </c>
      <c r="E105" s="27"/>
      <c r="F105" s="27"/>
      <c r="G105" s="27"/>
    </row>
    <row r="106" spans="1:7" s="10" customFormat="1" ht="10.199999999999999" x14ac:dyDescent="0.35">
      <c r="A106" s="10">
        <f t="shared" si="7"/>
        <v>98</v>
      </c>
      <c r="B106" s="30">
        <f t="shared" si="5"/>
        <v>0.12048623822716464</v>
      </c>
      <c r="C106" s="30">
        <f t="shared" si="6"/>
        <v>13.571147190023959</v>
      </c>
      <c r="D106" s="27">
        <f t="shared" si="8"/>
        <v>39911</v>
      </c>
      <c r="E106" s="27"/>
      <c r="F106" s="27"/>
      <c r="G106" s="27"/>
    </row>
    <row r="107" spans="1:7" s="10" customFormat="1" ht="10.199999999999999" x14ac:dyDescent="0.35">
      <c r="A107" s="10">
        <f t="shared" si="7"/>
        <v>99</v>
      </c>
      <c r="B107" s="30">
        <f t="shared" si="5"/>
        <v>0.12702539931507509</v>
      </c>
      <c r="C107" s="30">
        <f t="shared" si="6"/>
        <v>13.647645799873436</v>
      </c>
      <c r="D107" s="27">
        <f t="shared" si="8"/>
        <v>39912</v>
      </c>
      <c r="E107" s="27"/>
      <c r="F107" s="27"/>
      <c r="G107" s="27"/>
    </row>
    <row r="108" spans="1:7" s="10" customFormat="1" ht="10.199999999999999" x14ac:dyDescent="0.35">
      <c r="A108" s="10">
        <f t="shared" si="7"/>
        <v>100</v>
      </c>
      <c r="B108" s="30">
        <f t="shared" si="5"/>
        <v>0.13352871174088607</v>
      </c>
      <c r="C108" s="30">
        <f t="shared" si="6"/>
        <v>13.724027757348402</v>
      </c>
      <c r="D108" s="27">
        <f t="shared" si="8"/>
        <v>39913</v>
      </c>
      <c r="E108" s="27"/>
      <c r="F108" s="27"/>
      <c r="G108" s="27"/>
    </row>
    <row r="109" spans="1:7" s="10" customFormat="1" ht="10.199999999999999" x14ac:dyDescent="0.35">
      <c r="A109" s="10">
        <f t="shared" si="7"/>
        <v>101</v>
      </c>
      <c r="B109" s="30">
        <f t="shared" si="5"/>
        <v>0.13999452108310592</v>
      </c>
      <c r="C109" s="30">
        <f t="shared" si="6"/>
        <v>13.8002849195696</v>
      </c>
      <c r="D109" s="27">
        <f t="shared" si="8"/>
        <v>39914</v>
      </c>
      <c r="E109" s="27"/>
      <c r="F109" s="27"/>
      <c r="G109" s="27"/>
    </row>
    <row r="110" spans="1:7" s="10" customFormat="1" ht="10.199999999999999" x14ac:dyDescent="0.35">
      <c r="A110" s="10">
        <f t="shared" si="7"/>
        <v>102</v>
      </c>
      <c r="B110" s="30">
        <f t="shared" si="5"/>
        <v>0.14642117692158937</v>
      </c>
      <c r="C110" s="30">
        <f t="shared" si="6"/>
        <v>13.876408705400431</v>
      </c>
      <c r="D110" s="27">
        <f t="shared" si="8"/>
        <v>39915</v>
      </c>
      <c r="E110" s="27"/>
      <c r="F110" s="27"/>
      <c r="G110" s="27"/>
    </row>
    <row r="111" spans="1:7" s="10" customFormat="1" ht="10.199999999999999" x14ac:dyDescent="0.35">
      <c r="A111" s="10">
        <f t="shared" si="7"/>
        <v>103</v>
      </c>
      <c r="B111" s="30">
        <f t="shared" si="5"/>
        <v>0.15280703280781616</v>
      </c>
      <c r="C111" s="30">
        <f t="shared" si="6"/>
        <v>13.952390069983164</v>
      </c>
      <c r="D111" s="27">
        <f t="shared" si="8"/>
        <v>39916</v>
      </c>
      <c r="E111" s="27"/>
      <c r="F111" s="27"/>
      <c r="G111" s="27"/>
    </row>
    <row r="112" spans="1:7" s="10" customFormat="1" ht="10.199999999999999" x14ac:dyDescent="0.35">
      <c r="A112" s="10">
        <f t="shared" si="7"/>
        <v>104</v>
      </c>
      <c r="B112" s="30">
        <f t="shared" si="5"/>
        <v>0.15915044625478739</v>
      </c>
      <c r="C112" s="30">
        <f t="shared" si="6"/>
        <v>14.028219479050172</v>
      </c>
      <c r="D112" s="27">
        <f t="shared" si="8"/>
        <v>39917</v>
      </c>
      <c r="E112" s="27"/>
      <c r="F112" s="27"/>
      <c r="G112" s="27"/>
    </row>
    <row r="113" spans="1:7" s="10" customFormat="1" ht="10.199999999999999" x14ac:dyDescent="0.35">
      <c r="A113" s="10">
        <f t="shared" si="7"/>
        <v>105</v>
      </c>
      <c r="B113" s="30">
        <f t="shared" si="5"/>
        <v>0.1654497787475169</v>
      </c>
      <c r="C113" s="30">
        <f t="shared" si="6"/>
        <v>14.10388688301914</v>
      </c>
      <c r="D113" s="27">
        <f t="shared" si="8"/>
        <v>39918</v>
      </c>
      <c r="E113" s="27"/>
      <c r="F113" s="27"/>
      <c r="G113" s="27"/>
    </row>
    <row r="114" spans="1:7" s="10" customFormat="1" ht="10.199999999999999" x14ac:dyDescent="0.35">
      <c r="A114" s="10">
        <f t="shared" si="7"/>
        <v>106</v>
      </c>
      <c r="B114" s="30">
        <f t="shared" si="5"/>
        <v>0.17170339577507993</v>
      </c>
      <c r="C114" s="30">
        <f t="shared" si="6"/>
        <v>14.17938169088589</v>
      </c>
      <c r="D114" s="27">
        <f t="shared" si="8"/>
        <v>39919</v>
      </c>
      <c r="E114" s="27"/>
      <c r="F114" s="27"/>
      <c r="G114" s="27"/>
    </row>
    <row r="115" spans="1:7" s="10" customFormat="1" ht="10.199999999999999" x14ac:dyDescent="0.35">
      <c r="A115" s="10">
        <f t="shared" si="7"/>
        <v>107</v>
      </c>
      <c r="B115" s="30">
        <f t="shared" si="5"/>
        <v>0.1779096668851618</v>
      </c>
      <c r="C115" s="30">
        <f t="shared" si="6"/>
        <v>14.254692743933338</v>
      </c>
      <c r="D115" s="27">
        <f t="shared" si="8"/>
        <v>39920</v>
      </c>
      <c r="E115" s="27"/>
      <c r="F115" s="27"/>
      <c r="G115" s="27"/>
    </row>
    <row r="116" spans="1:7" s="10" customFormat="1" ht="10.199999999999999" x14ac:dyDescent="0.35">
      <c r="A116" s="10">
        <f t="shared" si="7"/>
        <v>108</v>
      </c>
      <c r="B116" s="30">
        <f t="shared" si="5"/>
        <v>0.18406696576203169</v>
      </c>
      <c r="C116" s="30">
        <f t="shared" si="6"/>
        <v>14.32980828928066</v>
      </c>
      <c r="D116" s="27">
        <f t="shared" si="8"/>
        <v>39921</v>
      </c>
      <c r="E116" s="27"/>
      <c r="F116" s="27"/>
      <c r="G116" s="27"/>
    </row>
    <row r="117" spans="1:7" s="10" customFormat="1" ht="10.199999999999999" x14ac:dyDescent="0.35">
      <c r="A117" s="10">
        <f t="shared" si="7"/>
        <v>109</v>
      </c>
      <c r="B117" s="30">
        <f t="shared" si="5"/>
        <v>0.19017367032883992</v>
      </c>
      <c r="C117" s="30">
        <f t="shared" si="6"/>
        <v>14.404715953302572</v>
      </c>
      <c r="D117" s="27">
        <f t="shared" si="8"/>
        <v>39922</v>
      </c>
      <c r="E117" s="27"/>
      <c r="F117" s="27"/>
      <c r="G117" s="27"/>
    </row>
    <row r="118" spans="1:7" s="10" customFormat="1" ht="10.199999999999999" x14ac:dyDescent="0.35">
      <c r="A118" s="10">
        <f t="shared" si="7"/>
        <v>110</v>
      </c>
      <c r="B118" s="30">
        <f t="shared" si="5"/>
        <v>0.1962281628751176</v>
      </c>
      <c r="C118" s="30">
        <f t="shared" si="6"/>
        <v>14.47940271495521</v>
      </c>
      <c r="D118" s="27">
        <f t="shared" si="8"/>
        <v>39923</v>
      </c>
      <c r="E118" s="27"/>
      <c r="F118" s="27"/>
      <c r="G118" s="27"/>
    </row>
    <row r="119" spans="1:7" s="10" customFormat="1" ht="10.199999999999999" x14ac:dyDescent="0.35">
      <c r="A119" s="10">
        <f t="shared" si="7"/>
        <v>111</v>
      </c>
      <c r="B119" s="30">
        <f t="shared" si="5"/>
        <v>0.20222883021032267</v>
      </c>
      <c r="C119" s="30">
        <f t="shared" si="6"/>
        <v>14.553854879051871</v>
      </c>
      <c r="D119" s="27">
        <f t="shared" si="8"/>
        <v>39924</v>
      </c>
      <c r="E119" s="27"/>
      <c r="F119" s="27"/>
      <c r="G119" s="27"/>
    </row>
    <row r="120" spans="1:7" s="10" customFormat="1" ht="10.199999999999999" x14ac:dyDescent="0.35">
      <c r="A120" s="10">
        <f t="shared" si="7"/>
        <v>112</v>
      </c>
      <c r="B120" s="30">
        <f t="shared" si="5"/>
        <v>0.20817406384425072</v>
      </c>
      <c r="C120" s="30">
        <f t="shared" si="6"/>
        <v>14.628058049539678</v>
      </c>
      <c r="D120" s="27">
        <f t="shared" si="8"/>
        <v>39925</v>
      </c>
      <c r="E120" s="27"/>
      <c r="F120" s="27"/>
      <c r="G120" s="27"/>
    </row>
    <row r="121" spans="1:7" s="10" customFormat="1" ht="10.199999999999999" x14ac:dyDescent="0.35">
      <c r="A121" s="10">
        <f t="shared" si="7"/>
        <v>113</v>
      </c>
      <c r="B121" s="30">
        <f t="shared" si="5"/>
        <v>0.21406226019508906</v>
      </c>
      <c r="C121" s="30">
        <f t="shared" si="6"/>
        <v>14.701997102836193</v>
      </c>
      <c r="D121" s="27">
        <f t="shared" si="8"/>
        <v>39926</v>
      </c>
      <c r="E121" s="27"/>
      <c r="F121" s="27"/>
      <c r="G121" s="27"/>
    </row>
    <row r="122" spans="1:7" s="10" customFormat="1" ht="10.199999999999999" x14ac:dyDescent="0.35">
      <c r="A122" s="10">
        <f t="shared" si="7"/>
        <v>114</v>
      </c>
      <c r="B122" s="30">
        <f t="shared" si="5"/>
        <v>0.21989182082585762</v>
      </c>
      <c r="C122" s="30">
        <f t="shared" si="6"/>
        <v>14.775656161293901</v>
      </c>
      <c r="D122" s="27">
        <f t="shared" si="8"/>
        <v>39927</v>
      </c>
      <c r="E122" s="27"/>
      <c r="F122" s="27"/>
      <c r="G122" s="27"/>
    </row>
    <row r="123" spans="1:7" s="10" customFormat="1" ht="10.199999999999999" x14ac:dyDescent="0.35">
      <c r="A123" s="10">
        <f t="shared" si="7"/>
        <v>115</v>
      </c>
      <c r="B123" s="30">
        <f t="shared" si="5"/>
        <v>0.22566115270993467</v>
      </c>
      <c r="C123" s="30">
        <f t="shared" si="6"/>
        <v>14.84901856686996</v>
      </c>
      <c r="D123" s="27">
        <f t="shared" si="8"/>
        <v>39928</v>
      </c>
      <c r="E123" s="27"/>
      <c r="F123" s="27"/>
      <c r="G123" s="27"/>
    </row>
    <row r="124" spans="1:7" s="10" customFormat="1" ht="10.199999999999999" x14ac:dyDescent="0.35">
      <c r="A124" s="10">
        <f t="shared" si="7"/>
        <v>116</v>
      </c>
      <c r="B124" s="30">
        <f t="shared" si="5"/>
        <v>0.23136866852632049</v>
      </c>
      <c r="C124" s="30">
        <f t="shared" si="6"/>
        <v>14.922066855088731</v>
      </c>
      <c r="D124" s="27">
        <f t="shared" si="8"/>
        <v>39929</v>
      </c>
      <c r="E124" s="27"/>
      <c r="F124" s="27"/>
      <c r="G124" s="27"/>
    </row>
    <row r="125" spans="1:7" s="10" customFormat="1" ht="10.199999999999999" x14ac:dyDescent="0.35">
      <c r="A125" s="10">
        <f t="shared" si="7"/>
        <v>117</v>
      </c>
      <c r="B125" s="30">
        <f t="shared" si="5"/>
        <v>0.23701278698523823</v>
      </c>
      <c r="C125" s="30">
        <f t="shared" si="6"/>
        <v>14.994782729395409</v>
      </c>
      <c r="D125" s="27">
        <f t="shared" si="8"/>
        <v>39930</v>
      </c>
      <c r="E125" s="27"/>
      <c r="F125" s="27"/>
      <c r="G125" s="27"/>
    </row>
    <row r="126" spans="1:7" s="10" customFormat="1" ht="10.199999999999999" x14ac:dyDescent="0.35">
      <c r="A126" s="10">
        <f t="shared" si="7"/>
        <v>118</v>
      </c>
      <c r="B126" s="30">
        <f t="shared" si="5"/>
        <v>0.24259193318461736</v>
      </c>
      <c r="C126" s="30">
        <f t="shared" si="6"/>
        <v>15.067147036010827</v>
      </c>
      <c r="D126" s="27">
        <f t="shared" si="8"/>
        <v>39931</v>
      </c>
      <c r="E126" s="27"/>
      <c r="F126" s="27"/>
      <c r="G126" s="27"/>
    </row>
    <row r="127" spans="1:7" s="10" customFormat="1" ht="10.199999999999999" x14ac:dyDescent="0.35">
      <c r="A127" s="10">
        <f t="shared" si="7"/>
        <v>119</v>
      </c>
      <c r="B127" s="30">
        <f t="shared" si="5"/>
        <v>0.24810453899794307</v>
      </c>
      <c r="C127" s="30">
        <f t="shared" si="6"/>
        <v>15.139139739409636</v>
      </c>
      <c r="D127" s="27">
        <f t="shared" si="8"/>
        <v>39932</v>
      </c>
      <c r="E127" s="27"/>
      <c r="F127" s="27"/>
      <c r="G127" s="27"/>
    </row>
    <row r="128" spans="1:7" s="10" customFormat="1" ht="10.199999999999999" x14ac:dyDescent="0.35">
      <c r="A128" s="10">
        <f t="shared" si="7"/>
        <v>120</v>
      </c>
      <c r="B128" s="30">
        <f t="shared" si="5"/>
        <v>0.25354904349388913</v>
      </c>
      <c r="C128" s="30">
        <f t="shared" si="6"/>
        <v>15.210739898557286</v>
      </c>
      <c r="D128" s="27">
        <f t="shared" si="8"/>
        <v>39933</v>
      </c>
      <c r="E128" s="27"/>
      <c r="F128" s="27"/>
      <c r="G128" s="27"/>
    </row>
    <row r="129" spans="1:7" s="10" customFormat="1" ht="10.199999999999999" x14ac:dyDescent="0.35">
      <c r="A129" s="10">
        <f t="shared" si="7"/>
        <v>121</v>
      </c>
      <c r="B129" s="30">
        <f t="shared" si="5"/>
        <v>0.25892389338807958</v>
      </c>
      <c r="C129" s="30">
        <f t="shared" si="6"/>
        <v>15.281925644054898</v>
      </c>
      <c r="D129" s="27">
        <f t="shared" si="8"/>
        <v>39934</v>
      </c>
      <c r="E129" s="27"/>
      <c r="F129" s="27"/>
      <c r="G129" s="27"/>
    </row>
    <row r="130" spans="1:7" s="10" customFormat="1" ht="10.199999999999999" x14ac:dyDescent="0.35">
      <c r="A130" s="10">
        <f t="shared" si="7"/>
        <v>122</v>
      </c>
      <c r="B130" s="30">
        <f t="shared" si="5"/>
        <v>0.26422754352725103</v>
      </c>
      <c r="C130" s="30">
        <f t="shared" si="6"/>
        <v>15.352674156355725</v>
      </c>
      <c r="D130" s="27">
        <f t="shared" si="8"/>
        <v>39935</v>
      </c>
      <c r="E130" s="27"/>
      <c r="F130" s="27"/>
      <c r="G130" s="27"/>
    </row>
    <row r="131" spans="1:7" s="10" customFormat="1" ht="10.199999999999999" x14ac:dyDescent="0.35">
      <c r="A131" s="10">
        <f t="shared" si="7"/>
        <v>123</v>
      </c>
      <c r="B131" s="30">
        <f t="shared" si="5"/>
        <v>0.26945845740600016</v>
      </c>
      <c r="C131" s="30">
        <f t="shared" si="6"/>
        <v>15.422961645231974</v>
      </c>
      <c r="D131" s="27">
        <f t="shared" si="8"/>
        <v>39936</v>
      </c>
      <c r="E131" s="27"/>
      <c r="F131" s="27"/>
      <c r="G131" s="27"/>
    </row>
    <row r="132" spans="1:7" s="10" customFormat="1" ht="10.199999999999999" x14ac:dyDescent="0.35">
      <c r="A132" s="10">
        <f t="shared" si="7"/>
        <v>124</v>
      </c>
      <c r="B132" s="30">
        <f t="shared" si="5"/>
        <v>0.27461510771622133</v>
      </c>
      <c r="C132" s="30">
        <f t="shared" si="6"/>
        <v>15.492763330686683</v>
      </c>
      <c r="D132" s="27">
        <f t="shared" si="8"/>
        <v>39937</v>
      </c>
      <c r="E132" s="27"/>
      <c r="F132" s="27"/>
      <c r="G132" s="27"/>
    </row>
    <row r="133" spans="1:7" s="10" customFormat="1" ht="10.199999999999999" x14ac:dyDescent="0.35">
      <c r="A133" s="10">
        <f t="shared" si="7"/>
        <v>125</v>
      </c>
      <c r="B133" s="30">
        <f t="shared" si="5"/>
        <v>0.27969597692923909</v>
      </c>
      <c r="C133" s="30">
        <f t="shared" si="6"/>
        <v>15.562053425521542</v>
      </c>
      <c r="D133" s="27">
        <f t="shared" si="8"/>
        <v>39938</v>
      </c>
      <c r="E133" s="27"/>
      <c r="F133" s="27"/>
      <c r="G133" s="27"/>
    </row>
    <row r="134" spans="1:7" s="10" customFormat="1" ht="10.199999999999999" x14ac:dyDescent="0.35">
      <c r="A134" s="10">
        <f t="shared" si="7"/>
        <v>126</v>
      </c>
      <c r="B134" s="30">
        <f t="shared" si="5"/>
        <v>0.28469955791054519</v>
      </c>
      <c r="C134" s="30">
        <f t="shared" si="6"/>
        <v>15.630805119788494</v>
      </c>
      <c r="D134" s="27">
        <f t="shared" si="8"/>
        <v>39939</v>
      </c>
      <c r="E134" s="27"/>
      <c r="F134" s="27"/>
      <c r="G134" s="27"/>
    </row>
    <row r="135" spans="1:7" s="10" customFormat="1" ht="10.199999999999999" x14ac:dyDescent="0.35">
      <c r="A135" s="10">
        <f t="shared" si="7"/>
        <v>127</v>
      </c>
      <c r="B135" s="30">
        <f t="shared" si="5"/>
        <v>0.28962435456694874</v>
      </c>
      <c r="C135" s="30">
        <f t="shared" si="6"/>
        <v>15.698990567370013</v>
      </c>
      <c r="D135" s="27">
        <f t="shared" si="8"/>
        <v>39940</v>
      </c>
      <c r="E135" s="27"/>
      <c r="F135" s="27"/>
      <c r="G135" s="27"/>
    </row>
    <row r="136" spans="1:7" s="10" customFormat="1" ht="10.199999999999999" x14ac:dyDescent="0.35">
      <c r="A136" s="10">
        <f t="shared" si="7"/>
        <v>128</v>
      </c>
      <c r="B136" s="30">
        <f t="shared" si="5"/>
        <v>0.29446888252583536</v>
      </c>
      <c r="C136" s="30">
        <f t="shared" si="6"/>
        <v>15.766580874950304</v>
      </c>
      <c r="D136" s="27">
        <f t="shared" si="8"/>
        <v>39941</v>
      </c>
      <c r="E136" s="27"/>
      <c r="F136" s="27"/>
      <c r="G136" s="27"/>
    </row>
    <row r="137" spans="1:7" s="10" customFormat="1" ht="10.199999999999999" x14ac:dyDescent="0.35">
      <c r="A137" s="10">
        <f t="shared" si="7"/>
        <v>129</v>
      </c>
      <c r="B137" s="30">
        <f t="shared" ref="B137:B200" si="9">ASIN(0.39795*COS(0.2163108+2*ATAN(0.9671396*TAN(0.0086*(A137-186)))))</f>
        <v>0.2992316698461186</v>
      </c>
      <c r="C137" s="30">
        <f t="shared" ref="C137:C200" si="10">24-(24/PI())*ACOS((SIN(0.8333*PI()/180)+SIN($B$4*PI()/180)*SIN(B137))/(COS($B$4*PI()/180)*COS(B137)))</f>
        <v>15.83354609365702</v>
      </c>
      <c r="D137" s="27">
        <f t="shared" si="8"/>
        <v>39942</v>
      </c>
      <c r="E137" s="27"/>
      <c r="F137" s="27"/>
      <c r="G137" s="27"/>
    </row>
    <row r="138" spans="1:7" s="10" customFormat="1" ht="10.199999999999999" x14ac:dyDescent="0.35">
      <c r="A138" s="10">
        <f t="shared" ref="A138:A201" si="11">A137+1</f>
        <v>130</v>
      </c>
      <c r="B138" s="30">
        <f t="shared" si="9"/>
        <v>0.30391125776035022</v>
      </c>
      <c r="C138" s="30">
        <f t="shared" si="10"/>
        <v>15.899855213670138</v>
      </c>
      <c r="D138" s="27">
        <f t="shared" ref="D138:D201" si="12">D137+1</f>
        <v>39943</v>
      </c>
      <c r="E138" s="27"/>
      <c r="F138" s="27"/>
      <c r="G138" s="27"/>
    </row>
    <row r="139" spans="1:7" s="10" customFormat="1" ht="10.199999999999999" x14ac:dyDescent="0.35">
      <c r="A139" s="10">
        <f t="shared" si="11"/>
        <v>131</v>
      </c>
      <c r="B139" s="30">
        <f t="shared" si="9"/>
        <v>0.30850620144733043</v>
      </c>
      <c r="C139" s="30">
        <f t="shared" si="10"/>
        <v>15.965476162111335</v>
      </c>
      <c r="D139" s="27">
        <f t="shared" si="12"/>
        <v>39944</v>
      </c>
      <c r="E139" s="27"/>
      <c r="F139" s="27"/>
      <c r="G139" s="27"/>
    </row>
    <row r="140" spans="1:7" s="10" customFormat="1" ht="10.199999999999999" x14ac:dyDescent="0.35">
      <c r="A140" s="10">
        <f t="shared" si="11"/>
        <v>132</v>
      </c>
      <c r="B140" s="30">
        <f t="shared" si="9"/>
        <v>0.31301507083443186</v>
      </c>
      <c r="C140" s="30">
        <f t="shared" si="10"/>
        <v>16.03037580454297</v>
      </c>
      <c r="D140" s="27">
        <f t="shared" si="12"/>
        <v>39945</v>
      </c>
      <c r="E140" s="27"/>
      <c r="F140" s="27"/>
      <c r="G140" s="27"/>
    </row>
    <row r="141" spans="1:7" s="10" customFormat="1" ht="10.199999999999999" x14ac:dyDescent="0.35">
      <c r="A141" s="10">
        <f t="shared" si="11"/>
        <v>133</v>
      </c>
      <c r="B141" s="30">
        <f t="shared" si="9"/>
        <v>0.31743645142872373</v>
      </c>
      <c r="C141" s="30">
        <f t="shared" si="10"/>
        <v>16.094519950420555</v>
      </c>
      <c r="D141" s="27">
        <f t="shared" si="12"/>
        <v>39946</v>
      </c>
      <c r="E141" s="27"/>
      <c r="F141" s="27"/>
      <c r="G141" s="27"/>
    </row>
    <row r="142" spans="1:7" s="10" customFormat="1" ht="10.199999999999999" x14ac:dyDescent="0.35">
      <c r="A142" s="10">
        <f t="shared" si="11"/>
        <v>134</v>
      </c>
      <c r="B142" s="30">
        <f t="shared" si="9"/>
        <v>0.32176894517584037</v>
      </c>
      <c r="C142" s="30">
        <f t="shared" si="10"/>
        <v>16.157873362855572</v>
      </c>
      <c r="D142" s="27">
        <f t="shared" si="12"/>
        <v>39947</v>
      </c>
      <c r="E142" s="27"/>
      <c r="F142" s="27"/>
      <c r="G142" s="27"/>
    </row>
    <row r="143" spans="1:7" s="10" customFormat="1" ht="10.199999999999999" x14ac:dyDescent="0.35">
      <c r="A143" s="10">
        <f t="shared" si="11"/>
        <v>135</v>
      </c>
      <c r="B143" s="30">
        <f t="shared" si="9"/>
        <v>0.32601117134541141</v>
      </c>
      <c r="C143" s="30">
        <f t="shared" si="10"/>
        <v>16.22039977305689</v>
      </c>
      <c r="D143" s="27">
        <f t="shared" si="12"/>
        <v>39948</v>
      </c>
      <c r="E143" s="27"/>
      <c r="F143" s="27"/>
      <c r="G143" s="27"/>
    </row>
    <row r="144" spans="1:7" s="10" customFormat="1" ht="10.199999999999999" x14ac:dyDescent="0.35">
      <c r="A144" s="10">
        <f t="shared" si="11"/>
        <v>136</v>
      </c>
      <c r="B144" s="30">
        <f t="shared" si="9"/>
        <v>0.33016176744172082</v>
      </c>
      <c r="C144" s="30">
        <f t="shared" si="10"/>
        <v>16.282061899827379</v>
      </c>
      <c r="D144" s="27">
        <f t="shared" si="12"/>
        <v>39949</v>
      </c>
      <c r="E144" s="27"/>
      <c r="F144" s="27"/>
      <c r="G144" s="27"/>
    </row>
    <row r="145" spans="1:7" s="10" customFormat="1" ht="10.199999999999999" x14ac:dyDescent="0.35">
      <c r="A145" s="10">
        <f t="shared" si="11"/>
        <v>137</v>
      </c>
      <c r="B145" s="30">
        <f t="shared" si="9"/>
        <v>0.33421939013812968</v>
      </c>
      <c r="C145" s="30">
        <f t="shared" si="10"/>
        <v>16.342821474498052</v>
      </c>
      <c r="D145" s="27">
        <f t="shared" si="12"/>
        <v>39950</v>
      </c>
      <c r="E145" s="27"/>
      <c r="F145" s="27"/>
      <c r="G145" s="27"/>
    </row>
    <row r="146" spans="1:7" s="10" customFormat="1" ht="10.199999999999999" x14ac:dyDescent="0.35">
      <c r="A146" s="10">
        <f t="shared" si="11"/>
        <v>138</v>
      </c>
      <c r="B146" s="30">
        <f t="shared" si="9"/>
        <v>0.33818271623365037</v>
      </c>
      <c r="C146" s="30">
        <f t="shared" si="10"/>
        <v>16.402639271683967</v>
      </c>
      <c r="D146" s="27">
        <f t="shared" si="12"/>
        <v>39951</v>
      </c>
      <c r="E146" s="27"/>
      <c r="F146" s="27"/>
      <c r="G146" s="27"/>
    </row>
    <row r="147" spans="1:7" s="10" customFormat="1" ht="10.199999999999999" x14ac:dyDescent="0.35">
      <c r="A147" s="10">
        <f t="shared" si="11"/>
        <v>139</v>
      </c>
      <c r="B147" s="30">
        <f t="shared" si="9"/>
        <v>0.3420504436299201</v>
      </c>
      <c r="C147" s="30">
        <f t="shared" si="10"/>
        <v>16.461475146243419</v>
      </c>
      <c r="D147" s="27">
        <f t="shared" si="12"/>
        <v>39952</v>
      </c>
      <c r="E147" s="27"/>
      <c r="F147" s="27"/>
      <c r="G147" s="27"/>
    </row>
    <row r="148" spans="1:7" s="10" customFormat="1" ht="10.199999999999999" x14ac:dyDescent="0.35">
      <c r="A148" s="10">
        <f t="shared" si="11"/>
        <v>140</v>
      </c>
      <c r="B148" s="30">
        <f t="shared" si="9"/>
        <v>0.34582129232668085</v>
      </c>
      <c r="C148" s="30">
        <f t="shared" si="10"/>
        <v>16.51928807681486</v>
      </c>
      <c r="D148" s="27">
        <f t="shared" si="12"/>
        <v>39953</v>
      </c>
      <c r="E148" s="27"/>
      <c r="F148" s="27"/>
      <c r="G148" s="27"/>
    </row>
    <row r="149" spans="1:7" s="10" customFormat="1" ht="10.199999999999999" x14ac:dyDescent="0.35">
      <c r="A149" s="10">
        <f t="shared" si="11"/>
        <v>141</v>
      </c>
      <c r="B149" s="30">
        <f t="shared" si="9"/>
        <v>0.34949400543373249</v>
      </c>
      <c r="C149" s="30">
        <f t="shared" si="10"/>
        <v>16.576036216292355</v>
      </c>
      <c r="D149" s="27">
        <f t="shared" si="12"/>
        <v>39954</v>
      </c>
      <c r="E149" s="27"/>
      <c r="F149" s="27"/>
      <c r="G149" s="27"/>
    </row>
    <row r="150" spans="1:7" s="10" customFormat="1" ht="10.199999999999999" x14ac:dyDescent="0.35">
      <c r="A150" s="10">
        <f t="shared" si="11"/>
        <v>142</v>
      </c>
      <c r="B150" s="30">
        <f t="shared" si="9"/>
        <v>0.35306735019718966</v>
      </c>
      <c r="C150" s="30">
        <f t="shared" si="10"/>
        <v>16.63167694958101</v>
      </c>
      <c r="D150" s="27">
        <f t="shared" si="12"/>
        <v>39955</v>
      </c>
      <c r="E150" s="27"/>
      <c r="F150" s="27"/>
      <c r="G150" s="27"/>
    </row>
    <row r="151" spans="1:7" s="10" customFormat="1" ht="10.199999999999999" x14ac:dyDescent="0.35">
      <c r="A151" s="10">
        <f t="shared" si="11"/>
        <v>143</v>
      </c>
      <c r="B151" s="30">
        <f t="shared" si="9"/>
        <v>0.35654011903774069</v>
      </c>
      <c r="C151" s="30">
        <f t="shared" si="10"/>
        <v>16.686166958946828</v>
      </c>
      <c r="D151" s="27">
        <f t="shared" si="12"/>
        <v>39956</v>
      </c>
      <c r="E151" s="27"/>
      <c r="F151" s="27"/>
      <c r="G151" s="27"/>
    </row>
    <row r="152" spans="1:7" s="10" customFormat="1" ht="10.199999999999999" x14ac:dyDescent="0.35">
      <c r="A152" s="10">
        <f t="shared" si="11"/>
        <v>144</v>
      </c>
      <c r="B152" s="30">
        <f t="shared" si="9"/>
        <v>0.35991113059847635</v>
      </c>
      <c r="C152" s="30">
        <f t="shared" si="10"/>
        <v>16.739462297240554</v>
      </c>
      <c r="D152" s="27">
        <f t="shared" si="12"/>
        <v>39957</v>
      </c>
      <c r="E152" s="27"/>
      <c r="F152" s="27"/>
      <c r="G152" s="27"/>
    </row>
    <row r="153" spans="1:7" s="10" customFormat="1" ht="10.199999999999999" x14ac:dyDescent="0.35">
      <c r="A153" s="10">
        <f t="shared" si="11"/>
        <v>145</v>
      </c>
      <c r="B153" s="30">
        <f t="shared" si="9"/>
        <v>0.36317923079973574</v>
      </c>
      <c r="C153" s="30">
        <f t="shared" si="10"/>
        <v>16.791518469231995</v>
      </c>
      <c r="D153" s="27">
        <f t="shared" si="12"/>
        <v>39958</v>
      </c>
      <c r="E153" s="27"/>
      <c r="F153" s="27"/>
      <c r="G153" s="27"/>
    </row>
    <row r="154" spans="1:7" s="10" customFormat="1" ht="10.199999999999999" x14ac:dyDescent="0.35">
      <c r="A154" s="10">
        <f t="shared" si="11"/>
        <v>146</v>
      </c>
      <c r="B154" s="30">
        <f t="shared" si="9"/>
        <v>0.36634329389830056</v>
      </c>
      <c r="C154" s="30">
        <f t="shared" si="10"/>
        <v>16.842290521238677</v>
      </c>
      <c r="D154" s="27">
        <f t="shared" si="12"/>
        <v>39959</v>
      </c>
      <c r="E154" s="27"/>
      <c r="F154" s="27"/>
      <c r="G154" s="27"/>
    </row>
    <row r="155" spans="1:7" s="10" customFormat="1" ht="10.199999999999999" x14ac:dyDescent="0.35">
      <c r="A155" s="10">
        <f t="shared" si="11"/>
        <v>147</v>
      </c>
      <c r="B155" s="30">
        <f t="shared" si="9"/>
        <v>0.36940222354815688</v>
      </c>
      <c r="C155" s="30">
        <f t="shared" si="10"/>
        <v>16.891733139170725</v>
      </c>
      <c r="D155" s="27">
        <f t="shared" si="12"/>
        <v>39960</v>
      </c>
      <c r="E155" s="27"/>
      <c r="F155" s="27"/>
      <c r="G155" s="27"/>
    </row>
    <row r="156" spans="1:7" s="10" customFormat="1" ht="10.199999999999999" x14ac:dyDescent="0.35">
      <c r="A156" s="10">
        <f t="shared" si="11"/>
        <v>148</v>
      </c>
      <c r="B156" s="30">
        <f t="shared" si="9"/>
        <v>0.37235495385995226</v>
      </c>
      <c r="C156" s="30">
        <f t="shared" si="10"/>
        <v>16.939800755042068</v>
      </c>
      <c r="D156" s="27">
        <f t="shared" si="12"/>
        <v>39961</v>
      </c>
      <c r="E156" s="27"/>
      <c r="F156" s="27"/>
      <c r="G156" s="27"/>
    </row>
    <row r="157" spans="1:7" s="10" customFormat="1" ht="10.199999999999999" x14ac:dyDescent="0.35">
      <c r="A157" s="10">
        <f t="shared" si="11"/>
        <v>149</v>
      </c>
      <c r="B157" s="30">
        <f t="shared" si="9"/>
        <v>0.37520045045617745</v>
      </c>
      <c r="C157" s="30">
        <f t="shared" si="10"/>
        <v>16.986447661915946</v>
      </c>
      <c r="D157" s="27">
        <f t="shared" si="12"/>
        <v>39962</v>
      </c>
      <c r="E157" s="27"/>
      <c r="F157" s="27"/>
      <c r="G157" s="27"/>
    </row>
    <row r="158" spans="1:7" s="10" customFormat="1" ht="10.199999999999999" x14ac:dyDescent="0.35">
      <c r="A158" s="10">
        <f t="shared" si="11"/>
        <v>150</v>
      </c>
      <c r="B158" s="30">
        <f t="shared" si="9"/>
        <v>0.37793771151903094</v>
      </c>
      <c r="C158" s="30">
        <f t="shared" si="10"/>
        <v>17.031628137161057</v>
      </c>
      <c r="D158" s="27">
        <f t="shared" si="12"/>
        <v>39963</v>
      </c>
      <c r="E158" s="27"/>
      <c r="F158" s="27"/>
      <c r="G158" s="27"/>
    </row>
    <row r="159" spans="1:7" s="10" customFormat="1" ht="10.199999999999999" x14ac:dyDescent="0.35">
      <c r="A159" s="10">
        <f t="shared" si="11"/>
        <v>151</v>
      </c>
      <c r="B159" s="30">
        <f t="shared" si="9"/>
        <v>0.3805657688278557</v>
      </c>
      <c r="C159" s="30">
        <f t="shared" si="10"/>
        <v>17.075296573793139</v>
      </c>
      <c r="D159" s="27">
        <f t="shared" si="12"/>
        <v>39964</v>
      </c>
      <c r="E159" s="27"/>
      <c r="F159" s="27"/>
      <c r="G159" s="27"/>
    </row>
    <row r="160" spans="1:7" s="10" customFormat="1" ht="10.199999999999999" x14ac:dyDescent="0.35">
      <c r="A160" s="10">
        <f t="shared" si="11"/>
        <v>152</v>
      </c>
      <c r="B160" s="30">
        <f t="shared" si="9"/>
        <v>0.38308368878298299</v>
      </c>
      <c r="C160" s="30">
        <f t="shared" si="10"/>
        <v>17.117407619566492</v>
      </c>
      <c r="D160" s="27">
        <f t="shared" si="12"/>
        <v>39965</v>
      </c>
      <c r="E160" s="27"/>
      <c r="F160" s="27"/>
      <c r="G160" s="27"/>
    </row>
    <row r="161" spans="1:7" s="10" customFormat="1" ht="10.199999999999999" x14ac:dyDescent="0.35">
      <c r="A161" s="10">
        <f t="shared" si="11"/>
        <v>153</v>
      </c>
      <c r="B161" s="30">
        <f t="shared" si="9"/>
        <v>0.38549057341278142</v>
      </c>
      <c r="C161" s="30">
        <f t="shared" si="10"/>
        <v>17.15791632336186</v>
      </c>
      <c r="D161" s="27">
        <f t="shared" si="12"/>
        <v>39966</v>
      </c>
      <c r="E161" s="27"/>
      <c r="F161" s="27"/>
      <c r="G161" s="27"/>
    </row>
    <row r="162" spans="1:7" s="10" customFormat="1" ht="10.199999999999999" x14ac:dyDescent="0.35">
      <c r="A162" s="10">
        <f t="shared" si="11"/>
        <v>154</v>
      </c>
      <c r="B162" s="30">
        <f t="shared" si="9"/>
        <v>0.38778556136068282</v>
      </c>
      <c r="C162" s="30">
        <f t="shared" si="10"/>
        <v>17.196778288292087</v>
      </c>
      <c r="D162" s="27">
        <f t="shared" si="12"/>
        <v>39967</v>
      </c>
      <c r="E162" s="27"/>
      <c r="F162" s="27"/>
      <c r="G162" s="27"/>
    </row>
    <row r="163" spans="1:7" s="10" customFormat="1" ht="10.199999999999999" x14ac:dyDescent="0.35">
      <c r="A163" s="10">
        <f t="shared" si="11"/>
        <v>155</v>
      </c>
      <c r="B163" s="30">
        <f t="shared" si="9"/>
        <v>0.38996782884894871</v>
      </c>
      <c r="C163" s="30">
        <f t="shared" si="10"/>
        <v>17.233949830817657</v>
      </c>
      <c r="D163" s="27">
        <f t="shared" si="12"/>
        <v>39968</v>
      </c>
      <c r="E163" s="27"/>
      <c r="F163" s="27"/>
      <c r="G163" s="27"/>
    </row>
    <row r="164" spans="1:7" s="10" customFormat="1" ht="10.199999999999999" x14ac:dyDescent="0.35">
      <c r="A164" s="10">
        <f t="shared" si="11"/>
        <v>156</v>
      </c>
      <c r="B164" s="30">
        <f t="shared" si="9"/>
        <v>0.39203659061594703</v>
      </c>
      <c r="C164" s="30">
        <f t="shared" si="10"/>
        <v>17.269388145031751</v>
      </c>
      <c r="D164" s="27">
        <f t="shared" si="12"/>
        <v>39969</v>
      </c>
      <c r="E164" s="27"/>
      <c r="F164" s="27"/>
      <c r="G164" s="27"/>
    </row>
    <row r="165" spans="1:7" s="10" customFormat="1" ht="10.199999999999999" x14ac:dyDescent="0.35">
      <c r="A165" s="10">
        <f t="shared" si="11"/>
        <v>157</v>
      </c>
      <c r="B165" s="30">
        <f t="shared" si="9"/>
        <v>0.3939911008237324</v>
      </c>
      <c r="C165" s="30">
        <f t="shared" si="10"/>
        <v>17.303051471141966</v>
      </c>
      <c r="D165" s="27">
        <f t="shared" si="12"/>
        <v>39970</v>
      </c>
      <c r="E165" s="27"/>
      <c r="F165" s="27"/>
      <c r="G165" s="27"/>
    </row>
    <row r="166" spans="1:7" s="10" customFormat="1" ht="10.199999999999999" x14ac:dyDescent="0.35">
      <c r="A166" s="10">
        <f t="shared" si="11"/>
        <v>158</v>
      </c>
      <c r="B166" s="30">
        <f t="shared" si="9"/>
        <v>0.39583065393276545</v>
      </c>
      <c r="C166" s="30">
        <f t="shared" si="10"/>
        <v>17.334899267045973</v>
      </c>
      <c r="D166" s="27">
        <f t="shared" si="12"/>
        <v>39971</v>
      </c>
      <c r="E166" s="27"/>
      <c r="F166" s="27"/>
      <c r="G166" s="27"/>
    </row>
    <row r="167" spans="1:7" s="10" customFormat="1" ht="10.199999999999999" x14ac:dyDescent="0.35">
      <c r="A167" s="10">
        <f t="shared" si="11"/>
        <v>159</v>
      </c>
      <c r="B167" s="30">
        <f t="shared" si="9"/>
        <v>0.39755458554066286</v>
      </c>
      <c r="C167" s="30">
        <f t="shared" si="10"/>
        <v>17.364892381774098</v>
      </c>
      <c r="D167" s="27">
        <f t="shared" si="12"/>
        <v>39972</v>
      </c>
      <c r="E167" s="27"/>
      <c r="F167" s="27"/>
      <c r="G167" s="27"/>
    </row>
    <row r="168" spans="1:7" s="10" customFormat="1" ht="10.199999999999999" x14ac:dyDescent="0.35">
      <c r="A168" s="10">
        <f t="shared" si="11"/>
        <v>160</v>
      </c>
      <c r="B168" s="30">
        <f t="shared" si="9"/>
        <v>0.39916227318194486</v>
      </c>
      <c r="C168" s="30">
        <f t="shared" si="10"/>
        <v>17.392993229456579</v>
      </c>
      <c r="D168" s="27">
        <f t="shared" si="12"/>
        <v>39973</v>
      </c>
      <c r="E168" s="27"/>
      <c r="F168" s="27"/>
      <c r="G168" s="27"/>
    </row>
    <row r="169" spans="1:7" s="10" customFormat="1" ht="10.199999999999999" x14ac:dyDescent="0.35">
      <c r="A169" s="10">
        <f t="shared" si="11"/>
        <v>161</v>
      </c>
      <c r="B169" s="30">
        <f t="shared" si="9"/>
        <v>0.4006531370858431</v>
      </c>
      <c r="C169" s="30">
        <f t="shared" si="10"/>
        <v>17.41916596237068</v>
      </c>
      <c r="D169" s="27">
        <f t="shared" si="12"/>
        <v>39974</v>
      </c>
      <c r="E169" s="27"/>
      <c r="F169" s="27"/>
      <c r="G169" s="27"/>
    </row>
    <row r="170" spans="1:7" s="10" customFormat="1" ht="10.199999999999999" x14ac:dyDescent="0.35">
      <c r="A170" s="10">
        <f t="shared" si="11"/>
        <v>162</v>
      </c>
      <c r="B170" s="30">
        <f t="shared" si="9"/>
        <v>0.40202664088933854</v>
      </c>
      <c r="C170" s="30">
        <f t="shared" si="10"/>
        <v>17.44337664153614</v>
      </c>
      <c r="D170" s="27">
        <f t="shared" si="12"/>
        <v>39975</v>
      </c>
      <c r="E170" s="27"/>
      <c r="F170" s="27"/>
      <c r="G170" s="27"/>
    </row>
    <row r="171" spans="1:7" s="10" customFormat="1" ht="10.199999999999999" x14ac:dyDescent="0.35">
      <c r="A171" s="10">
        <f t="shared" si="11"/>
        <v>163</v>
      </c>
      <c r="B171" s="30">
        <f t="shared" si="9"/>
        <v>0.40328229230272722</v>
      </c>
      <c r="C171" s="30">
        <f t="shared" si="10"/>
        <v>17.465593403260165</v>
      </c>
      <c r="D171" s="27">
        <f t="shared" si="12"/>
        <v>39976</v>
      </c>
      <c r="E171" s="27"/>
      <c r="F171" s="27"/>
      <c r="G171" s="27"/>
    </row>
    <row r="172" spans="1:7" s="10" customFormat="1" ht="10.199999999999999" x14ac:dyDescent="0.35">
      <c r="A172" s="10">
        <f t="shared" si="11"/>
        <v>164</v>
      </c>
      <c r="B172" s="30">
        <f t="shared" si="9"/>
        <v>0.40441964372515909</v>
      </c>
      <c r="C172" s="30">
        <f t="shared" si="10"/>
        <v>17.48578661998889</v>
      </c>
      <c r="D172" s="27">
        <f t="shared" si="12"/>
        <v>39977</v>
      </c>
      <c r="E172" s="27"/>
      <c r="F172" s="27"/>
      <c r="G172" s="27"/>
    </row>
    <row r="173" spans="1:7" s="10" customFormat="1" ht="10.199999999999999" x14ac:dyDescent="0.35">
      <c r="A173" s="10">
        <f t="shared" si="11"/>
        <v>165</v>
      </c>
      <c r="B173" s="30">
        <f t="shared" si="9"/>
        <v>0.40543829280774868</v>
      </c>
      <c r="C173" s="30">
        <f t="shared" si="10"/>
        <v>17.503929053802928</v>
      </c>
      <c r="D173" s="27">
        <f t="shared" si="12"/>
        <v>39978</v>
      </c>
      <c r="E173" s="27"/>
      <c r="F173" s="27"/>
      <c r="G173" s="27"/>
    </row>
    <row r="174" spans="1:7" s="10" customFormat="1" ht="10.199999999999999" x14ac:dyDescent="0.35">
      <c r="A174" s="10">
        <f t="shared" si="11"/>
        <v>166</v>
      </c>
      <c r="B174" s="30">
        <f t="shared" si="9"/>
        <v>0.40633788296203932</v>
      </c>
      <c r="C174" s="30">
        <f t="shared" si="10"/>
        <v>17.519996000903799</v>
      </c>
      <c r="D174" s="27">
        <f t="shared" si="12"/>
        <v>39979</v>
      </c>
      <c r="E174" s="27"/>
      <c r="F174" s="27"/>
      <c r="G174" s="27"/>
    </row>
    <row r="175" spans="1:7" s="10" customFormat="1" ht="10.199999999999999" x14ac:dyDescent="0.35">
      <c r="A175" s="10">
        <f t="shared" si="11"/>
        <v>167</v>
      </c>
      <c r="B175" s="30">
        <f t="shared" si="9"/>
        <v>0.40711810381178526</v>
      </c>
      <c r="C175" s="30">
        <f t="shared" si="10"/>
        <v>17.533965425476239</v>
      </c>
      <c r="D175" s="27">
        <f t="shared" si="12"/>
        <v>39980</v>
      </c>
      <c r="E175" s="27"/>
      <c r="F175" s="27"/>
      <c r="G175" s="27"/>
    </row>
    <row r="176" spans="1:7" s="10" customFormat="1" ht="10.199999999999999" x14ac:dyDescent="0.35">
      <c r="A176" s="10">
        <f t="shared" si="11"/>
        <v>168</v>
      </c>
      <c r="B176" s="30">
        <f t="shared" si="9"/>
        <v>0.40777869158622421</v>
      </c>
      <c r="C176" s="30">
        <f t="shared" si="10"/>
        <v>17.545818081380467</v>
      </c>
      <c r="D176" s="27">
        <f t="shared" si="12"/>
        <v>39981</v>
      </c>
      <c r="E176" s="27"/>
      <c r="F176" s="27"/>
      <c r="G176" s="27"/>
    </row>
    <row r="177" spans="1:7" s="10" customFormat="1" ht="10.199999999999999" x14ac:dyDescent="0.35">
      <c r="A177" s="10">
        <f t="shared" si="11"/>
        <v>169</v>
      </c>
      <c r="B177" s="30">
        <f t="shared" si="9"/>
        <v>0.4083194294532238</v>
      </c>
      <c r="C177" s="30">
        <f t="shared" si="10"/>
        <v>17.555537620228137</v>
      </c>
      <c r="D177" s="27">
        <f t="shared" si="12"/>
        <v>39982</v>
      </c>
      <c r="E177" s="27"/>
      <c r="F177" s="27"/>
      <c r="G177" s="27"/>
    </row>
    <row r="178" spans="1:7" s="10" customFormat="1" ht="10.199999999999999" x14ac:dyDescent="0.35">
      <c r="A178" s="10">
        <f t="shared" si="11"/>
        <v>170</v>
      </c>
      <c r="B178" s="30">
        <f t="shared" si="9"/>
        <v>0.40874014779091672</v>
      </c>
      <c r="C178" s="30">
        <f t="shared" si="10"/>
        <v>17.563110684525199</v>
      </c>
      <c r="D178" s="27">
        <f t="shared" si="12"/>
        <v>39983</v>
      </c>
      <c r="E178" s="27"/>
      <c r="F178" s="27"/>
      <c r="G178" s="27"/>
    </row>
    <row r="179" spans="1:7" s="10" customFormat="1" ht="10.199999999999999" x14ac:dyDescent="0.35">
      <c r="A179" s="10">
        <f t="shared" si="11"/>
        <v>171</v>
      </c>
      <c r="B179" s="30">
        <f t="shared" si="9"/>
        <v>0.40904072439666622</v>
      </c>
      <c r="C179" s="30">
        <f t="shared" si="10"/>
        <v>17.568526984722475</v>
      </c>
      <c r="D179" s="27">
        <f t="shared" si="12"/>
        <v>39984</v>
      </c>
      <c r="E179" s="27"/>
      <c r="F179" s="27"/>
      <c r="G179" s="27"/>
    </row>
    <row r="180" spans="1:7" s="10" customFormat="1" ht="10.199999999999999" x14ac:dyDescent="0.35">
      <c r="A180" s="10">
        <f t="shared" si="11"/>
        <v>172</v>
      </c>
      <c r="B180" s="30">
        <f t="shared" si="9"/>
        <v>0.40922108463245721</v>
      </c>
      <c r="C180" s="30">
        <f t="shared" si="10"/>
        <v>17.571779359197983</v>
      </c>
      <c r="D180" s="27">
        <f t="shared" si="12"/>
        <v>39985</v>
      </c>
      <c r="E180" s="27"/>
      <c r="F180" s="27"/>
      <c r="G180" s="27"/>
    </row>
    <row r="181" spans="1:7" s="10" customFormat="1" ht="10.199999999999999" x14ac:dyDescent="0.35">
      <c r="A181" s="10">
        <f t="shared" si="11"/>
        <v>173</v>
      </c>
      <c r="B181" s="30">
        <f t="shared" si="9"/>
        <v>0.40928120150604741</v>
      </c>
      <c r="C181" s="30">
        <f t="shared" si="10"/>
        <v>17.572863816400059</v>
      </c>
      <c r="D181" s="27">
        <f t="shared" si="12"/>
        <v>39986</v>
      </c>
      <c r="E181" s="27"/>
      <c r="F181" s="27"/>
      <c r="G181" s="27"/>
    </row>
    <row r="182" spans="1:7" s="10" customFormat="1" ht="10.199999999999999" x14ac:dyDescent="0.35">
      <c r="A182" s="10">
        <f t="shared" si="11"/>
        <v>174</v>
      </c>
      <c r="B182" s="30">
        <f t="shared" si="9"/>
        <v>0.40922109568747611</v>
      </c>
      <c r="C182" s="30">
        <f t="shared" si="10"/>
        <v>17.571779558603165</v>
      </c>
      <c r="D182" s="27">
        <f t="shared" si="12"/>
        <v>39987</v>
      </c>
      <c r="E182" s="27"/>
      <c r="F182" s="27"/>
      <c r="G182" s="27"/>
    </row>
    <row r="183" spans="1:7" s="10" customFormat="1" ht="10.199999999999999" x14ac:dyDescent="0.35">
      <c r="A183" s="10">
        <f t="shared" si="11"/>
        <v>175</v>
      </c>
      <c r="B183" s="30">
        <f t="shared" si="9"/>
        <v>0.40904083546077746</v>
      </c>
      <c r="C183" s="30">
        <f t="shared" si="10"/>
        <v>17.568528986963727</v>
      </c>
      <c r="D183" s="27">
        <f t="shared" si="12"/>
        <v>39988</v>
      </c>
      <c r="E183" s="27"/>
      <c r="F183" s="27"/>
      <c r="G183" s="27"/>
    </row>
    <row r="184" spans="1:7" s="10" customFormat="1" ht="10.199999999999999" x14ac:dyDescent="0.35">
      <c r="A184" s="10">
        <f t="shared" si="11"/>
        <v>176</v>
      </c>
      <c r="B184" s="30">
        <f t="shared" si="9"/>
        <v>0.40874053661100912</v>
      </c>
      <c r="C184" s="30">
        <f t="shared" si="10"/>
        <v>17.563117687806304</v>
      </c>
      <c r="D184" s="27">
        <f t="shared" si="12"/>
        <v>39989</v>
      </c>
      <c r="E184" s="27"/>
      <c r="F184" s="27"/>
      <c r="G184" s="27"/>
    </row>
    <row r="185" spans="1:7" s="10" customFormat="1" ht="10.199999999999999" x14ac:dyDescent="0.35">
      <c r="A185" s="10">
        <f t="shared" si="11"/>
        <v>177</v>
      </c>
      <c r="B185" s="30">
        <f t="shared" si="9"/>
        <v>0.40832036224696044</v>
      </c>
      <c r="C185" s="30">
        <f t="shared" si="10"/>
        <v>17.555554400314907</v>
      </c>
      <c r="D185" s="27">
        <f t="shared" si="12"/>
        <v>39990</v>
      </c>
      <c r="E185" s="27"/>
      <c r="F185" s="27"/>
      <c r="G185" s="27"/>
    </row>
    <row r="186" spans="1:7" s="10" customFormat="1" ht="10.199999999999999" x14ac:dyDescent="0.35">
      <c r="A186" s="10">
        <f t="shared" si="11"/>
        <v>178</v>
      </c>
      <c r="B186" s="30">
        <f t="shared" si="9"/>
        <v>0.40778052256016339</v>
      </c>
      <c r="C186" s="30">
        <f t="shared" si="10"/>
        <v>17.545850966044942</v>
      </c>
      <c r="D186" s="27">
        <f t="shared" si="12"/>
        <v>39991</v>
      </c>
      <c r="E186" s="27"/>
      <c r="F186" s="27"/>
      <c r="G186" s="27"/>
    </row>
    <row r="187" spans="1:7" s="10" customFormat="1" ht="10.199999999999999" x14ac:dyDescent="0.35">
      <c r="A187" s="10">
        <f t="shared" si="11"/>
        <v>179</v>
      </c>
      <c r="B187" s="30">
        <f t="shared" si="9"/>
        <v>0.40712127452107588</v>
      </c>
      <c r="C187" s="30">
        <f t="shared" si="10"/>
        <v>17.53402226090207</v>
      </c>
      <c r="D187" s="27">
        <f t="shared" si="12"/>
        <v>39992</v>
      </c>
      <c r="E187" s="27"/>
      <c r="F187" s="27"/>
      <c r="G187" s="27"/>
    </row>
    <row r="188" spans="1:7" s="10" customFormat="1" ht="10.199999999999999" x14ac:dyDescent="0.35">
      <c r="A188" s="10">
        <f t="shared" si="11"/>
        <v>180</v>
      </c>
      <c r="B188" s="30">
        <f t="shared" si="9"/>
        <v>0.40634292151355761</v>
      </c>
      <c r="C188" s="30">
        <f t="shared" si="10"/>
        <v>17.520086110450531</v>
      </c>
      <c r="D188" s="27">
        <f t="shared" si="12"/>
        <v>39993</v>
      </c>
      <c r="E188" s="27"/>
      <c r="F188" s="27"/>
      <c r="G188" s="27"/>
    </row>
    <row r="189" spans="1:7" s="10" customFormat="1" ht="10.199999999999999" x14ac:dyDescent="0.35">
      <c r="A189" s="10">
        <f t="shared" si="11"/>
        <v>181</v>
      </c>
      <c r="B189" s="30">
        <f t="shared" si="9"/>
        <v>0.40544581290899201</v>
      </c>
      <c r="C189" s="30">
        <f t="shared" si="10"/>
        <v>17.504063189609973</v>
      </c>
      <c r="D189" s="27">
        <f t="shared" si="12"/>
        <v>39994</v>
      </c>
      <c r="E189" s="27"/>
      <c r="F189" s="27"/>
      <c r="G189" s="27"/>
    </row>
    <row r="190" spans="1:7" s="10" customFormat="1" ht="10.199999999999999" x14ac:dyDescent="0.35">
      <c r="A190" s="10">
        <f t="shared" si="11"/>
        <v>182</v>
      </c>
      <c r="B190" s="30">
        <f t="shared" si="9"/>
        <v>0.40443034358163826</v>
      </c>
      <c r="C190" s="30">
        <f t="shared" si="10"/>
        <v>17.485976907972901</v>
      </c>
      <c r="D190" s="27">
        <f t="shared" si="12"/>
        <v>39995</v>
      </c>
      <c r="E190" s="27"/>
      <c r="F190" s="27"/>
      <c r="G190" s="27"/>
    </row>
    <row r="191" spans="1:7" s="10" customFormat="1" ht="10.199999999999999" x14ac:dyDescent="0.35">
      <c r="A191" s="10">
        <f t="shared" si="11"/>
        <v>183</v>
      </c>
      <c r="B191" s="30">
        <f t="shared" si="9"/>
        <v>0.40329695336701854</v>
      </c>
      <c r="C191" s="30">
        <f t="shared" si="10"/>
        <v>17.465853282121252</v>
      </c>
      <c r="D191" s="27">
        <f t="shared" si="12"/>
        <v>39996</v>
      </c>
      <c r="E191" s="27"/>
      <c r="F191" s="27"/>
      <c r="G191" s="27"/>
    </row>
    <row r="192" spans="1:7" s="10" customFormat="1" ht="10.199999999999999" x14ac:dyDescent="0.35">
      <c r="A192" s="10">
        <f t="shared" si="11"/>
        <v>184</v>
      </c>
      <c r="B192" s="30">
        <f t="shared" si="9"/>
        <v>0.40204612646534715</v>
      </c>
      <c r="C192" s="30">
        <f t="shared" si="10"/>
        <v>17.443720796437855</v>
      </c>
      <c r="D192" s="27">
        <f t="shared" si="12"/>
        <v>39997</v>
      </c>
      <c r="E192" s="27"/>
      <c r="F192" s="27"/>
      <c r="G192" s="27"/>
    </row>
    <row r="193" spans="1:7" s="10" customFormat="1" ht="10.199999999999999" x14ac:dyDescent="0.35">
      <c r="A193" s="10">
        <f t="shared" si="11"/>
        <v>185</v>
      </c>
      <c r="B193" s="30">
        <f t="shared" si="9"/>
        <v>0.40067839079220724</v>
      </c>
      <c r="C193" s="30">
        <f t="shared" si="10"/>
        <v>17.41961025399554</v>
      </c>
      <c r="D193" s="27">
        <f t="shared" si="12"/>
        <v>39998</v>
      </c>
      <c r="E193" s="27"/>
      <c r="F193" s="27"/>
      <c r="G193" s="27"/>
    </row>
    <row r="194" spans="1:7" s="10" customFormat="1" ht="10.199999999999999" x14ac:dyDescent="0.35">
      <c r="A194" s="10">
        <f t="shared" si="11"/>
        <v>186</v>
      </c>
      <c r="B194" s="30">
        <f t="shared" si="9"/>
        <v>0.39919431727885635</v>
      </c>
      <c r="C194" s="30">
        <f t="shared" si="10"/>
        <v>17.393554619162842</v>
      </c>
      <c r="D194" s="27">
        <f t="shared" si="12"/>
        <v>39999</v>
      </c>
      <c r="E194" s="27"/>
      <c r="F194" s="27"/>
      <c r="G194" s="27"/>
    </row>
    <row r="195" spans="1:7" s="10" customFormat="1" ht="10.199999999999999" x14ac:dyDescent="0.35">
      <c r="A195" s="10">
        <f t="shared" si="11"/>
        <v>187</v>
      </c>
      <c r="B195" s="30">
        <f t="shared" si="9"/>
        <v>0.39759451912470972</v>
      </c>
      <c r="C195" s="30">
        <f t="shared" si="10"/>
        <v>17.36558885359111</v>
      </c>
      <c r="D195" s="27">
        <f t="shared" si="12"/>
        <v>40000</v>
      </c>
      <c r="E195" s="27"/>
      <c r="F195" s="27"/>
      <c r="G195" s="27"/>
    </row>
    <row r="196" spans="1:7" s="10" customFormat="1" ht="10.199999999999999" x14ac:dyDescent="0.35">
      <c r="A196" s="10">
        <f t="shared" si="11"/>
        <v>188</v>
      </c>
      <c r="B196" s="30">
        <f t="shared" si="9"/>
        <v>0.39587965100469674</v>
      </c>
      <c r="C196" s="30">
        <f t="shared" si="10"/>
        <v>17.33574974724463</v>
      </c>
      <c r="D196" s="27">
        <f t="shared" si="12"/>
        <v>40001</v>
      </c>
      <c r="E196" s="27"/>
      <c r="F196" s="27"/>
      <c r="G196" s="27"/>
    </row>
    <row r="197" spans="1:7" s="10" customFormat="1" ht="10.199999999999999" x14ac:dyDescent="0.35">
      <c r="A197" s="10">
        <f t="shared" si="11"/>
        <v>189</v>
      </c>
      <c r="B197" s="30">
        <f t="shared" si="9"/>
        <v>0.39405040823432064</v>
      </c>
      <c r="C197" s="30">
        <f t="shared" si="10"/>
        <v>17.304075746105173</v>
      </c>
      <c r="D197" s="27">
        <f t="shared" si="12"/>
        <v>40002</v>
      </c>
      <c r="E197" s="27"/>
      <c r="F197" s="27"/>
      <c r="G197" s="27"/>
    </row>
    <row r="198" spans="1:7" s="10" customFormat="1" ht="10.199999999999999" x14ac:dyDescent="0.35">
      <c r="A198" s="10">
        <f t="shared" si="11"/>
        <v>190</v>
      </c>
      <c r="B198" s="30">
        <f t="shared" si="9"/>
        <v>0.39210752589536413</v>
      </c>
      <c r="C198" s="30">
        <f t="shared" si="10"/>
        <v>17.270606778127664</v>
      </c>
      <c r="D198" s="27">
        <f t="shared" si="12"/>
        <v>40003</v>
      </c>
      <c r="E198" s="27"/>
      <c r="F198" s="27"/>
      <c r="G198" s="27"/>
    </row>
    <row r="199" spans="1:7" s="10" customFormat="1" ht="10.199999999999999" x14ac:dyDescent="0.35">
      <c r="A199" s="10">
        <f t="shared" si="11"/>
        <v>191</v>
      </c>
      <c r="B199" s="30">
        <f t="shared" si="9"/>
        <v>0.39005177792528284</v>
      </c>
      <c r="C199" s="30">
        <f t="shared" si="10"/>
        <v>17.235384078947519</v>
      </c>
      <c r="D199" s="27">
        <f t="shared" si="12"/>
        <v>40004</v>
      </c>
      <c r="E199" s="27"/>
      <c r="F199" s="27"/>
      <c r="G199" s="27"/>
    </row>
    <row r="200" spans="1:7" s="10" customFormat="1" ht="10.199999999999999" x14ac:dyDescent="0.35">
      <c r="A200" s="10">
        <f t="shared" si="11"/>
        <v>192</v>
      </c>
      <c r="B200" s="30">
        <f t="shared" si="9"/>
        <v>0.38788397617341153</v>
      </c>
      <c r="C200" s="30">
        <f t="shared" si="10"/>
        <v>17.198450018745898</v>
      </c>
      <c r="D200" s="27">
        <f t="shared" si="12"/>
        <v>40005</v>
      </c>
      <c r="E200" s="27"/>
      <c r="F200" s="27"/>
      <c r="G200" s="27"/>
    </row>
    <row r="201" spans="1:7" s="10" customFormat="1" ht="10.199999999999999" x14ac:dyDescent="0.35">
      <c r="A201" s="10">
        <f t="shared" si="11"/>
        <v>193</v>
      </c>
      <c r="B201" s="30">
        <f t="shared" ref="B201:B264" si="13">ASIN(0.39795*COS(0.2163108+2*ATAN(0.9671396*TAN(0.0086*(A201-186)))))</f>
        <v>0.38560496942716405</v>
      </c>
      <c r="C201" s="30">
        <f t="shared" ref="C201:C264" si="14">24-(24/PI())*ACOS((SIN(0.8333*PI()/180)+SIN($B$4*PI()/180)*SIN(B201))/(COS($B$4*PI()/180)*COS(B201)))</f>
        <v>17.159847931570255</v>
      </c>
      <c r="D201" s="27">
        <f t="shared" si="12"/>
        <v>40006</v>
      </c>
      <c r="E201" s="27"/>
      <c r="F201" s="27"/>
      <c r="G201" s="27"/>
    </row>
    <row r="202" spans="1:7" s="10" customFormat="1" ht="10.199999999999999" x14ac:dyDescent="0.35">
      <c r="A202" s="10">
        <f t="shared" ref="A202:A265" si="15">A201+1</f>
        <v>194</v>
      </c>
      <c r="B202" s="30">
        <f t="shared" si="13"/>
        <v>0.38321564241146017</v>
      </c>
      <c r="C202" s="30">
        <f t="shared" si="14"/>
        <v>17.119621948287335</v>
      </c>
      <c r="D202" s="27">
        <f t="shared" ref="D202:D265" si="16">D201+1</f>
        <v>40007</v>
      </c>
      <c r="E202" s="27"/>
      <c r="F202" s="27"/>
      <c r="G202" s="27"/>
    </row>
    <row r="203" spans="1:7" s="10" customFormat="1" ht="10.199999999999999" x14ac:dyDescent="0.35">
      <c r="A203" s="10">
        <f t="shared" si="15"/>
        <v>195</v>
      </c>
      <c r="B203" s="30">
        <f t="shared" si="13"/>
        <v>0.38071691476463765</v>
      </c>
      <c r="C203" s="30">
        <f t="shared" si="14"/>
        <v>17.07781683421846</v>
      </c>
      <c r="D203" s="27">
        <f t="shared" si="16"/>
        <v>40008</v>
      </c>
      <c r="E203" s="27"/>
      <c r="F203" s="27"/>
      <c r="G203" s="27"/>
    </row>
    <row r="204" spans="1:7" s="10" customFormat="1" ht="10.199999999999999" x14ac:dyDescent="0.35">
      <c r="A204" s="10">
        <f t="shared" si="15"/>
        <v>196</v>
      </c>
      <c r="B204" s="30">
        <f t="shared" si="13"/>
        <v>0.37810973999411812</v>
      </c>
      <c r="C204" s="30">
        <f t="shared" si="14"/>
        <v>17.03447783237435</v>
      </c>
      <c r="D204" s="27">
        <f t="shared" si="16"/>
        <v>40009</v>
      </c>
      <c r="E204" s="27"/>
      <c r="F204" s="27"/>
      <c r="G204" s="27"/>
    </row>
    <row r="205" spans="1:7" s="10" customFormat="1" ht="10.199999999999999" x14ac:dyDescent="0.35">
      <c r="A205" s="10">
        <f t="shared" si="15"/>
        <v>197</v>
      </c>
      <c r="B205" s="30">
        <f t="shared" si="13"/>
        <v>0.37539510441509116</v>
      </c>
      <c r="C205" s="30">
        <f t="shared" si="14"/>
        <v>16.989650513073734</v>
      </c>
      <c r="D205" s="27">
        <f t="shared" si="16"/>
        <v>40010</v>
      </c>
      <c r="E205" s="27"/>
      <c r="F205" s="27"/>
      <c r="G205" s="27"/>
    </row>
    <row r="206" spans="1:7" s="10" customFormat="1" ht="10.199999999999999" x14ac:dyDescent="0.35">
      <c r="A206" s="10">
        <f t="shared" si="15"/>
        <v>198</v>
      </c>
      <c r="B206" s="30">
        <f t="shared" si="13"/>
        <v>0.37257402607546131</v>
      </c>
      <c r="C206" s="30">
        <f t="shared" si="14"/>
        <v>16.943380630597584</v>
      </c>
      <c r="D206" s="27">
        <f t="shared" si="16"/>
        <v>40011</v>
      </c>
      <c r="E206" s="27"/>
      <c r="F206" s="27"/>
      <c r="G206" s="27"/>
    </row>
    <row r="207" spans="1:7" s="10" customFormat="1" ht="10.199999999999999" x14ac:dyDescent="0.35">
      <c r="A207" s="10">
        <f t="shared" si="15"/>
        <v>199</v>
      </c>
      <c r="B207" s="30">
        <f t="shared" si="13"/>
        <v>0.36964755367026431</v>
      </c>
      <c r="C207" s="30">
        <f t="shared" si="14"/>
        <v>16.89571398740247</v>
      </c>
      <c r="D207" s="27">
        <f t="shared" si="16"/>
        <v>40012</v>
      </c>
      <c r="E207" s="27"/>
      <c r="F207" s="27"/>
      <c r="G207" s="27"/>
    </row>
    <row r="208" spans="1:7" s="10" customFormat="1" ht="10.199999999999999" x14ac:dyDescent="0.35">
      <c r="A208" s="10">
        <f t="shared" si="15"/>
        <v>200</v>
      </c>
      <c r="B208" s="30">
        <f t="shared" si="13"/>
        <v>0.36661676544871036</v>
      </c>
      <c r="C208" s="30">
        <f t="shared" si="14"/>
        <v>16.846696306293634</v>
      </c>
      <c r="D208" s="27">
        <f t="shared" si="16"/>
        <v>40013</v>
      </c>
      <c r="E208" s="27"/>
      <c r="F208" s="27"/>
      <c r="G208" s="27"/>
    </row>
    <row r="209" spans="1:7" s="10" customFormat="1" ht="10.199999999999999" x14ac:dyDescent="0.35">
      <c r="A209" s="10">
        <f t="shared" si="15"/>
        <v>201</v>
      </c>
      <c r="B209" s="30">
        <f t="shared" si="13"/>
        <v>0.36348276811694818</v>
      </c>
      <c r="C209" s="30">
        <f t="shared" si="14"/>
        <v>16.79637311084284</v>
      </c>
      <c r="D209" s="27">
        <f t="shared" si="16"/>
        <v>40014</v>
      </c>
      <c r="E209" s="27"/>
      <c r="F209" s="27"/>
      <c r="G209" s="27"/>
    </row>
    <row r="210" spans="1:7" s="10" customFormat="1" ht="10.199999999999999" x14ac:dyDescent="0.35">
      <c r="A210" s="10">
        <f t="shared" si="15"/>
        <v>202</v>
      </c>
      <c r="B210" s="30">
        <f t="shared" si="13"/>
        <v>0.36024669573956797</v>
      </c>
      <c r="C210" s="30">
        <f t="shared" si="14"/>
        <v>16.744789614228811</v>
      </c>
      <c r="D210" s="27">
        <f t="shared" si="16"/>
        <v>40015</v>
      </c>
      <c r="E210" s="27"/>
      <c r="F210" s="27"/>
      <c r="G210" s="27"/>
    </row>
    <row r="211" spans="1:7" s="10" customFormat="1" ht="10.199999999999999" x14ac:dyDescent="0.35">
      <c r="A211" s="10">
        <f t="shared" si="15"/>
        <v>203</v>
      </c>
      <c r="B211" s="30">
        <f t="shared" si="13"/>
        <v>0.35690970864277327</v>
      </c>
      <c r="C211" s="30">
        <f t="shared" si="14"/>
        <v>16.691990616580224</v>
      </c>
      <c r="D211" s="27">
        <f t="shared" si="16"/>
        <v>40016</v>
      </c>
      <c r="E211" s="27"/>
      <c r="F211" s="27"/>
      <c r="G211" s="27"/>
    </row>
    <row r="212" spans="1:7" s="10" customFormat="1" ht="10.199999999999999" x14ac:dyDescent="0.35">
      <c r="A212" s="10">
        <f t="shared" si="15"/>
        <v>204</v>
      </c>
      <c r="B212" s="30">
        <f t="shared" si="13"/>
        <v>0.35347299232205509</v>
      </c>
      <c r="C212" s="30">
        <f t="shared" si="14"/>
        <v>16.638020410813088</v>
      </c>
      <c r="D212" s="27">
        <f t="shared" si="16"/>
        <v>40017</v>
      </c>
      <c r="E212" s="27"/>
      <c r="F212" s="27"/>
      <c r="G212" s="27"/>
    </row>
    <row r="213" spans="1:7" s="10" customFormat="1" ht="10.199999999999999" x14ac:dyDescent="0.35">
      <c r="A213" s="10">
        <f t="shared" si="15"/>
        <v>205</v>
      </c>
      <c r="B213" s="30">
        <f t="shared" si="13"/>
        <v>0.34993775635709434</v>
      </c>
      <c r="C213" s="30">
        <f t="shared" si="14"/>
        <v>16.582922696876409</v>
      </c>
      <c r="D213" s="27">
        <f t="shared" si="16"/>
        <v>40018</v>
      </c>
      <c r="E213" s="27"/>
      <c r="F213" s="27"/>
      <c r="G213" s="27"/>
    </row>
    <row r="214" spans="1:7" s="10" customFormat="1" ht="10.199999999999999" x14ac:dyDescent="0.35">
      <c r="A214" s="10">
        <f t="shared" si="15"/>
        <v>206</v>
      </c>
      <c r="B214" s="30">
        <f t="shared" si="13"/>
        <v>0.34630523333650337</v>
      </c>
      <c r="C214" s="30">
        <f t="shared" si="14"/>
        <v>16.526740504252121</v>
      </c>
      <c r="D214" s="27">
        <f t="shared" si="16"/>
        <v>40019</v>
      </c>
      <c r="E214" s="27"/>
      <c r="F214" s="27"/>
      <c r="G214" s="27"/>
    </row>
    <row r="215" spans="1:7" s="10" customFormat="1" ht="10.199999999999999" x14ac:dyDescent="0.35">
      <c r="A215" s="10">
        <f t="shared" si="15"/>
        <v>207</v>
      </c>
      <c r="B215" s="30">
        <f t="shared" si="13"/>
        <v>0.34257667779489442</v>
      </c>
      <c r="C215" s="30">
        <f t="shared" si="14"/>
        <v>16.469516122497044</v>
      </c>
      <c r="D215" s="27">
        <f t="shared" si="16"/>
        <v>40020</v>
      </c>
      <c r="E215" s="27"/>
      <c r="F215" s="27"/>
      <c r="G215" s="27"/>
    </row>
    <row r="216" spans="1:7" s="10" customFormat="1" ht="10.199999999999999" x14ac:dyDescent="0.35">
      <c r="A216" s="10">
        <f t="shared" si="15"/>
        <v>208</v>
      </c>
      <c r="B216" s="30">
        <f t="shared" si="13"/>
        <v>0.33875336516463711</v>
      </c>
      <c r="C216" s="30">
        <f t="shared" si="14"/>
        <v>16.411291039566251</v>
      </c>
      <c r="D216" s="27">
        <f t="shared" si="16"/>
        <v>40021</v>
      </c>
      <c r="E216" s="27"/>
      <c r="F216" s="27"/>
      <c r="G216" s="27"/>
    </row>
    <row r="217" spans="1:7" s="10" customFormat="1" ht="10.199999999999999" x14ac:dyDescent="0.35">
      <c r="A217" s="10">
        <f t="shared" si="15"/>
        <v>209</v>
      </c>
      <c r="B217" s="30">
        <f t="shared" si="13"/>
        <v>0.33483659074452959</v>
      </c>
      <c r="C217" s="30">
        <f t="shared" si="14"/>
        <v>16.352105887617402</v>
      </c>
      <c r="D217" s="27">
        <f t="shared" si="16"/>
        <v>40022</v>
      </c>
      <c r="E217" s="27"/>
      <c r="F217" s="27"/>
      <c r="G217" s="27"/>
    </row>
    <row r="218" spans="1:7" s="10" customFormat="1" ht="10.199999999999999" x14ac:dyDescent="0.35">
      <c r="A218" s="10">
        <f t="shared" si="15"/>
        <v>210</v>
      </c>
      <c r="B218" s="30">
        <f t="shared" si="13"/>
        <v>0.33082766868747659</v>
      </c>
      <c r="C218" s="30">
        <f t="shared" si="14"/>
        <v>16.292000395964404</v>
      </c>
      <c r="D218" s="27">
        <f t="shared" si="16"/>
        <v>40023</v>
      </c>
      <c r="E218" s="27"/>
      <c r="F218" s="27"/>
      <c r="G218" s="27"/>
    </row>
    <row r="219" spans="1:7" s="10" customFormat="1" ht="10.199999999999999" x14ac:dyDescent="0.35">
      <c r="A219" s="10">
        <f t="shared" si="15"/>
        <v>211</v>
      </c>
      <c r="B219" s="30">
        <f t="shared" si="13"/>
        <v>0.3267279310091214</v>
      </c>
      <c r="C219" s="30">
        <f t="shared" si="14"/>
        <v>16.231013350825066</v>
      </c>
      <c r="D219" s="27">
        <f t="shared" si="16"/>
        <v>40024</v>
      </c>
      <c r="E219" s="27"/>
      <c r="F219" s="27"/>
      <c r="G219" s="27"/>
    </row>
    <row r="220" spans="1:7" s="10" customFormat="1" ht="10.199999999999999" x14ac:dyDescent="0.35">
      <c r="A220" s="10">
        <f t="shared" si="15"/>
        <v>212</v>
      </c>
      <c r="B220" s="30">
        <f t="shared" si="13"/>
        <v>0.32253872661924066</v>
      </c>
      <c r="C220" s="30">
        <f t="shared" si="14"/>
        <v>16.169182561490693</v>
      </c>
      <c r="D220" s="27">
        <f t="shared" si="16"/>
        <v>40025</v>
      </c>
      <c r="E220" s="27"/>
      <c r="F220" s="27"/>
      <c r="G220" s="27"/>
    </row>
    <row r="221" spans="1:7" s="10" customFormat="1" ht="10.199999999999999" x14ac:dyDescent="0.35">
      <c r="A221" s="10">
        <f t="shared" si="15"/>
        <v>213</v>
      </c>
      <c r="B221" s="30">
        <f t="shared" si="13"/>
        <v>0.31826142037756883</v>
      </c>
      <c r="C221" s="30">
        <f t="shared" si="14"/>
        <v>16.106544832535178</v>
      </c>
      <c r="D221" s="27">
        <f t="shared" si="16"/>
        <v>40026</v>
      </c>
      <c r="E221" s="27"/>
      <c r="F221" s="27"/>
      <c r="G221" s="27"/>
    </row>
    <row r="222" spans="1:7" s="10" customFormat="1" ht="10.199999999999999" x14ac:dyDescent="0.35">
      <c r="A222" s="10">
        <f t="shared" si="15"/>
        <v>214</v>
      </c>
      <c r="B222" s="30">
        <f t="shared" si="13"/>
        <v>0.31389739217557133</v>
      </c>
      <c r="C222" s="30">
        <f t="shared" si="14"/>
        <v>16.043135941675921</v>
      </c>
      <c r="D222" s="27">
        <f t="shared" si="16"/>
        <v>40027</v>
      </c>
      <c r="E222" s="27"/>
      <c r="F222" s="27"/>
      <c r="G222" s="27"/>
    </row>
    <row r="223" spans="1:7" s="10" customFormat="1" ht="10.199999999999999" x14ac:dyDescent="0.35">
      <c r="A223" s="10">
        <f t="shared" si="15"/>
        <v>215</v>
      </c>
      <c r="B223" s="30">
        <f t="shared" si="13"/>
        <v>0.3094480360455476</v>
      </c>
      <c r="C223" s="30">
        <f t="shared" si="14"/>
        <v>15.978990622898793</v>
      </c>
      <c r="D223" s="27">
        <f t="shared" si="16"/>
        <v>40028</v>
      </c>
      <c r="E223" s="27"/>
      <c r="F223" s="27"/>
      <c r="G223" s="27"/>
    </row>
    <row r="224" spans="1:7" s="10" customFormat="1" ht="10.199999999999999" x14ac:dyDescent="0.35">
      <c r="A224" s="10">
        <f t="shared" si="15"/>
        <v>216</v>
      </c>
      <c r="B224" s="30">
        <f t="shared" si="13"/>
        <v>0.30491475929830186</v>
      </c>
      <c r="C224" s="30">
        <f t="shared" si="14"/>
        <v>15.914142554463082</v>
      </c>
      <c r="D224" s="27">
        <f t="shared" si="16"/>
        <v>40029</v>
      </c>
      <c r="E224" s="27"/>
      <c r="F224" s="27"/>
      <c r="G224" s="27"/>
    </row>
    <row r="225" spans="1:7" s="10" customFormat="1" ht="10.199999999999999" x14ac:dyDescent="0.35">
      <c r="A225" s="10">
        <f t="shared" si="15"/>
        <v>217</v>
      </c>
      <c r="B225" s="30">
        <f t="shared" si="13"/>
        <v>0.3002989816904813</v>
      </c>
      <c r="C225" s="30">
        <f t="shared" si="14"/>
        <v>15.848624351409512</v>
      </c>
      <c r="D225" s="27">
        <f t="shared" si="16"/>
        <v>40030</v>
      </c>
      <c r="E225" s="27"/>
      <c r="F225" s="27"/>
      <c r="G225" s="27"/>
    </row>
    <row r="226" spans="1:7" s="10" customFormat="1" ht="10.199999999999999" x14ac:dyDescent="0.35">
      <c r="A226" s="10">
        <f t="shared" si="15"/>
        <v>218</v>
      </c>
      <c r="B226" s="30">
        <f t="shared" si="13"/>
        <v>0.29560213462254409</v>
      </c>
      <c r="C226" s="30">
        <f t="shared" si="14"/>
        <v>15.782467562204641</v>
      </c>
      <c r="D226" s="27">
        <f t="shared" si="16"/>
        <v>40031</v>
      </c>
      <c r="E226" s="27"/>
      <c r="F226" s="27"/>
      <c r="G226" s="27"/>
    </row>
    <row r="227" spans="1:7" s="10" customFormat="1" ht="10.199999999999999" x14ac:dyDescent="0.35">
      <c r="A227" s="10">
        <f t="shared" si="15"/>
        <v>219</v>
      </c>
      <c r="B227" s="30">
        <f t="shared" si="13"/>
        <v>0.29082566036818791</v>
      </c>
      <c r="C227" s="30">
        <f t="shared" si="14"/>
        <v>15.71570266916709</v>
      </c>
      <c r="D227" s="27">
        <f t="shared" si="16"/>
        <v>40032</v>
      </c>
      <c r="E227" s="27"/>
      <c r="F227" s="27"/>
      <c r="G227" s="27"/>
    </row>
    <row r="228" spans="1:7" s="10" customFormat="1" ht="10.199999999999999" x14ac:dyDescent="0.35">
      <c r="A228" s="10">
        <f t="shared" si="15"/>
        <v>220</v>
      </c>
      <c r="B228" s="30">
        <f t="shared" si="13"/>
        <v>0.28597101133594005</v>
      </c>
      <c r="C228" s="30">
        <f t="shared" si="14"/>
        <v>15.648359092335385</v>
      </c>
      <c r="D228" s="27">
        <f t="shared" si="16"/>
        <v>40033</v>
      </c>
      <c r="E228" s="27"/>
      <c r="F228" s="27"/>
      <c r="G228" s="27"/>
    </row>
    <row r="229" spans="1:7" s="10" customFormat="1" ht="10.199999999999999" x14ac:dyDescent="0.35">
      <c r="A229" s="10">
        <f t="shared" si="15"/>
        <v>221</v>
      </c>
      <c r="B229" s="30">
        <f t="shared" si="13"/>
        <v>0.2810396493634848</v>
      </c>
      <c r="C229" s="30">
        <f t="shared" si="14"/>
        <v>15.580465196452582</v>
      </c>
      <c r="D229" s="27">
        <f t="shared" si="16"/>
        <v>40034</v>
      </c>
      <c r="E229" s="27"/>
      <c r="F229" s="27"/>
      <c r="G229" s="27"/>
    </row>
    <row r="230" spans="1:7" s="10" customFormat="1" ht="10.199999999999999" x14ac:dyDescent="0.35">
      <c r="A230" s="10">
        <f t="shared" si="15"/>
        <v>222</v>
      </c>
      <c r="B230" s="30">
        <f t="shared" si="13"/>
        <v>0.27603304504518411</v>
      </c>
      <c r="C230" s="30">
        <f t="shared" si="14"/>
        <v>15.512048300759393</v>
      </c>
      <c r="D230" s="27">
        <f t="shared" si="16"/>
        <v>40035</v>
      </c>
      <c r="E230" s="27"/>
      <c r="F230" s="27"/>
      <c r="G230" s="27"/>
    </row>
    <row r="231" spans="1:7" s="10" customFormat="1" ht="10.199999999999999" x14ac:dyDescent="0.35">
      <c r="A231" s="10">
        <f t="shared" si="15"/>
        <v>223</v>
      </c>
      <c r="B231" s="30">
        <f t="shared" si="13"/>
        <v>0.27095267709313131</v>
      </c>
      <c r="C231" s="30">
        <f t="shared" si="14"/>
        <v>15.443134691304635</v>
      </c>
      <c r="D231" s="27">
        <f t="shared" si="16"/>
        <v>40036</v>
      </c>
      <c r="E231" s="27"/>
      <c r="F231" s="27"/>
      <c r="G231" s="27"/>
    </row>
    <row r="232" spans="1:7" s="10" customFormat="1" ht="10.199999999999999" x14ac:dyDescent="0.35">
      <c r="A232" s="10">
        <f t="shared" si="15"/>
        <v>224</v>
      </c>
      <c r="B232" s="30">
        <f t="shared" si="13"/>
        <v>0.26580003173196848</v>
      </c>
      <c r="C232" s="30">
        <f t="shared" si="14"/>
        <v>15.373749635499378</v>
      </c>
      <c r="D232" s="27">
        <f t="shared" si="16"/>
        <v>40037</v>
      </c>
      <c r="E232" s="27"/>
      <c r="F232" s="27"/>
      <c r="G232" s="27"/>
    </row>
    <row r="233" spans="1:7" s="10" customFormat="1" ht="10.199999999999999" x14ac:dyDescent="0.35">
      <c r="A233" s="10">
        <f t="shared" si="15"/>
        <v>225</v>
      </c>
      <c r="B233" s="30">
        <f t="shared" si="13"/>
        <v>0.26057660212759171</v>
      </c>
      <c r="C233" s="30">
        <f t="shared" si="14"/>
        <v>15.303917398658614</v>
      </c>
      <c r="D233" s="27">
        <f t="shared" si="16"/>
        <v>40038</v>
      </c>
      <c r="E233" s="27"/>
      <c r="F233" s="27"/>
      <c r="G233" s="27"/>
    </row>
    <row r="234" spans="1:7" s="10" customFormat="1" ht="10.199999999999999" x14ac:dyDescent="0.35">
      <c r="A234" s="10">
        <f t="shared" si="15"/>
        <v>226</v>
      </c>
      <c r="B234" s="30">
        <f t="shared" si="13"/>
        <v>0.25528388784977002</v>
      </c>
      <c r="C234" s="30">
        <f t="shared" si="14"/>
        <v>15.233661262291911</v>
      </c>
      <c r="D234" s="27">
        <f t="shared" si="16"/>
        <v>40039</v>
      </c>
      <c r="E234" s="27"/>
      <c r="F234" s="27"/>
      <c r="G234" s="27"/>
    </row>
    <row r="235" spans="1:7" s="10" customFormat="1" ht="10.199999999999999" x14ac:dyDescent="0.35">
      <c r="A235" s="10">
        <f t="shared" si="15"/>
        <v>227</v>
      </c>
      <c r="B235" s="30">
        <f t="shared" si="13"/>
        <v>0.24992339436860928</v>
      </c>
      <c r="C235" s="30">
        <f t="shared" si="14"/>
        <v>15.163003543921652</v>
      </c>
      <c r="D235" s="27">
        <f t="shared" si="16"/>
        <v>40040</v>
      </c>
      <c r="E235" s="27"/>
      <c r="F235" s="27"/>
      <c r="G235" s="27"/>
    </row>
    <row r="236" spans="1:7" s="10" customFormat="1" ht="10.199999999999999" x14ac:dyDescent="0.35">
      <c r="A236" s="10">
        <f t="shared" si="15"/>
        <v>228</v>
      </c>
      <c r="B236" s="30">
        <f t="shared" si="13"/>
        <v>0.24449663258470497</v>
      </c>
      <c r="C236" s="30">
        <f t="shared" si="14"/>
        <v>15.091965618224252</v>
      </c>
      <c r="D236" s="27">
        <f t="shared" si="16"/>
        <v>40041</v>
      </c>
      <c r="E236" s="27"/>
      <c r="F236" s="27"/>
      <c r="G236" s="27"/>
    </row>
    <row r="237" spans="1:7" s="10" customFormat="1" ht="10.199999999999999" x14ac:dyDescent="0.35">
      <c r="A237" s="10">
        <f t="shared" si="15"/>
        <v>229</v>
      </c>
      <c r="B237" s="30">
        <f t="shared" si="13"/>
        <v>0.23900511839274277</v>
      </c>
      <c r="C237" s="30">
        <f t="shared" si="14"/>
        <v>15.020567939306085</v>
      </c>
      <c r="D237" s="27">
        <f t="shared" si="16"/>
        <v>40042</v>
      </c>
      <c r="E237" s="27"/>
      <c r="F237" s="27"/>
      <c r="G237" s="27"/>
    </row>
    <row r="238" spans="1:7" s="10" customFormat="1" ht="10.199999999999999" x14ac:dyDescent="0.35">
      <c r="A238" s="10">
        <f t="shared" si="15"/>
        <v>230</v>
      </c>
      <c r="B238" s="30">
        <f t="shared" si="13"/>
        <v>0.23345037227823162</v>
      </c>
      <c r="C238" s="30">
        <f t="shared" si="14"/>
        <v>14.948830063941477</v>
      </c>
      <c r="D238" s="27">
        <f t="shared" si="16"/>
        <v>40043</v>
      </c>
      <c r="E238" s="27"/>
      <c r="F238" s="27"/>
      <c r="G238" s="27"/>
    </row>
    <row r="239" spans="1:7" s="10" customFormat="1" ht="10.199999999999999" x14ac:dyDescent="0.35">
      <c r="A239" s="10">
        <f t="shared" si="15"/>
        <v>231</v>
      </c>
      <c r="B239" s="30">
        <f t="shared" si="13"/>
        <v>0.22783391894698138</v>
      </c>
      <c r="C239" s="30">
        <f t="shared" si="14"/>
        <v>14.876770675615207</v>
      </c>
      <c r="D239" s="27">
        <f t="shared" si="16"/>
        <v>40044</v>
      </c>
      <c r="E239" s="27"/>
      <c r="F239" s="27"/>
      <c r="G239" s="27"/>
    </row>
    <row r="240" spans="1:7" s="10" customFormat="1" ht="10.199999999999999" x14ac:dyDescent="0.35">
      <c r="A240" s="10">
        <f t="shared" si="15"/>
        <v>232</v>
      </c>
      <c r="B240" s="30">
        <f t="shared" si="13"/>
        <v>0.22215728698686779</v>
      </c>
      <c r="C240" s="30">
        <f t="shared" si="14"/>
        <v>14.804407609226159</v>
      </c>
      <c r="D240" s="27">
        <f t="shared" si="16"/>
        <v>40045</v>
      </c>
      <c r="E240" s="27"/>
      <c r="F240" s="27"/>
      <c r="G240" s="27"/>
    </row>
    <row r="241" spans="1:7" s="10" customFormat="1" ht="10.199999999999999" x14ac:dyDescent="0.35">
      <c r="A241" s="10">
        <f t="shared" si="15"/>
        <v>233</v>
      </c>
      <c r="B241" s="30">
        <f t="shared" si="13"/>
        <v>0.21642200856137356</v>
      </c>
      <c r="C241" s="30">
        <f t="shared" si="14"/>
        <v>14.731757876322463</v>
      </c>
      <c r="D241" s="27">
        <f t="shared" si="16"/>
        <v>40046</v>
      </c>
      <c r="E241" s="27"/>
      <c r="F241" s="27"/>
      <c r="G241" s="27"/>
    </row>
    <row r="242" spans="1:7" s="10" customFormat="1" ht="10.199999999999999" x14ac:dyDescent="0.35">
      <c r="A242" s="10">
        <f t="shared" si="15"/>
        <v>234</v>
      </c>
      <c r="B242" s="30">
        <f t="shared" si="13"/>
        <v>0.21062961913432926</v>
      </c>
      <c r="C242" s="30">
        <f t="shared" si="14"/>
        <v>14.658837690751183</v>
      </c>
      <c r="D242" s="27">
        <f t="shared" si="16"/>
        <v>40047</v>
      </c>
      <c r="E242" s="27"/>
      <c r="F242" s="27"/>
      <c r="G242" s="27"/>
    </row>
    <row r="243" spans="1:7" s="10" customFormat="1" ht="10.199999999999999" x14ac:dyDescent="0.35">
      <c r="A243" s="10">
        <f t="shared" si="15"/>
        <v>235</v>
      </c>
      <c r="B243" s="30">
        <f t="shared" si="13"/>
        <v>0.20478165722523642</v>
      </c>
      <c r="C243" s="30">
        <f t="shared" si="14"/>
        <v>14.585662494617695</v>
      </c>
      <c r="D243" s="27">
        <f t="shared" si="16"/>
        <v>40048</v>
      </c>
      <c r="E243" s="27"/>
      <c r="F243" s="27"/>
      <c r="G243" s="27"/>
    </row>
    <row r="244" spans="1:7" s="10" customFormat="1" ht="10.199999999999999" x14ac:dyDescent="0.35">
      <c r="A244" s="10">
        <f t="shared" si="15"/>
        <v>236</v>
      </c>
      <c r="B244" s="30">
        <f t="shared" si="13"/>
        <v>0.19887966419449887</v>
      </c>
      <c r="C244" s="30">
        <f t="shared" si="14"/>
        <v>14.512246984461257</v>
      </c>
      <c r="D244" s="27">
        <f t="shared" si="16"/>
        <v>40049</v>
      </c>
      <c r="E244" s="27"/>
      <c r="F244" s="27"/>
      <c r="G244" s="27"/>
    </row>
    <row r="245" spans="1:7" s="10" customFormat="1" ht="10.199999999999999" x14ac:dyDescent="0.35">
      <c r="A245" s="10">
        <f t="shared" si="15"/>
        <v>237</v>
      </c>
      <c r="B245" s="30">
        <f t="shared" si="13"/>
        <v>0.19292518405785708</v>
      </c>
      <c r="C245" s="30">
        <f t="shared" si="14"/>
        <v>14.438605137563805</v>
      </c>
      <c r="D245" s="27">
        <f t="shared" si="16"/>
        <v>40050</v>
      </c>
      <c r="E245" s="27"/>
      <c r="F245" s="27"/>
      <c r="G245" s="27"/>
    </row>
    <row r="246" spans="1:7" s="10" customFormat="1" ht="10.199999999999999" x14ac:dyDescent="0.35">
      <c r="A246" s="10">
        <f t="shared" si="15"/>
        <v>238</v>
      </c>
      <c r="B246" s="30">
        <f t="shared" si="13"/>
        <v>0.18691976332927199</v>
      </c>
      <c r="C246" s="30">
        <f t="shared" si="14"/>
        <v>14.364750238318869</v>
      </c>
      <c r="D246" s="27">
        <f t="shared" si="16"/>
        <v>40051</v>
      </c>
      <c r="E246" s="27"/>
      <c r="F246" s="27"/>
      <c r="G246" s="27"/>
    </row>
    <row r="247" spans="1:7" s="10" customFormat="1" ht="10.199999999999999" x14ac:dyDescent="0.35">
      <c r="A247" s="10">
        <f t="shared" si="15"/>
        <v>239</v>
      </c>
      <c r="B247" s="30">
        <f t="shared" si="13"/>
        <v>0.18086495089148111</v>
      </c>
      <c r="C247" s="30">
        <f t="shared" si="14"/>
        <v>14.290694904596796</v>
      </c>
      <c r="D247" s="27">
        <f t="shared" si="16"/>
        <v>40052</v>
      </c>
      <c r="E247" s="27"/>
      <c r="F247" s="27"/>
      <c r="G247" s="27"/>
    </row>
    <row r="248" spans="1:7" s="10" customFormat="1" ht="10.199999999999999" x14ac:dyDescent="0.35">
      <c r="A248" s="10">
        <f t="shared" si="15"/>
        <v>240</v>
      </c>
      <c r="B248" s="30">
        <f t="shared" si="13"/>
        <v>0.17476229789341144</v>
      </c>
      <c r="C248" s="30">
        <f t="shared" si="14"/>
        <v>14.216451114050763</v>
      </c>
      <c r="D248" s="27">
        <f t="shared" si="16"/>
        <v>40053</v>
      </c>
      <c r="E248" s="27"/>
      <c r="F248" s="27"/>
      <c r="G248" s="27"/>
    </row>
    <row r="249" spans="1:7" s="10" customFormat="1" ht="10.199999999999999" x14ac:dyDescent="0.35">
      <c r="A249" s="10">
        <f t="shared" si="15"/>
        <v>241</v>
      </c>
      <c r="B249" s="30">
        <f t="shared" si="13"/>
        <v>0.16861335767361324</v>
      </c>
      <c r="C249" s="30">
        <f t="shared" si="14"/>
        <v>14.142030230316198</v>
      </c>
      <c r="D249" s="27">
        <f t="shared" si="16"/>
        <v>40054</v>
      </c>
      <c r="E249" s="27"/>
      <c r="F249" s="27"/>
      <c r="G249" s="27"/>
    </row>
    <row r="250" spans="1:7" s="10" customFormat="1" ht="10.199999999999999" x14ac:dyDescent="0.35">
      <c r="A250" s="10">
        <f t="shared" si="15"/>
        <v>242</v>
      </c>
      <c r="B250" s="30">
        <f t="shared" si="13"/>
        <v>0.16241968570885257</v>
      </c>
      <c r="C250" s="30">
        <f t="shared" si="14"/>
        <v>14.06744302906335</v>
      </c>
      <c r="D250" s="27">
        <f t="shared" si="16"/>
        <v>40055</v>
      </c>
      <c r="E250" s="27"/>
      <c r="F250" s="27"/>
      <c r="G250" s="27"/>
    </row>
    <row r="251" spans="1:7" s="10" customFormat="1" ht="10.199999999999999" x14ac:dyDescent="0.35">
      <c r="A251" s="10">
        <f t="shared" si="15"/>
        <v>243</v>
      </c>
      <c r="B251" s="30">
        <f t="shared" si="13"/>
        <v>0.15618283958698112</v>
      </c>
      <c r="C251" s="30">
        <f t="shared" si="14"/>
        <v>13.99269972386951</v>
      </c>
      <c r="D251" s="27">
        <f t="shared" si="16"/>
        <v>40056</v>
      </c>
      <c r="E251" s="27"/>
      <c r="F251" s="27"/>
      <c r="G251" s="27"/>
    </row>
    <row r="252" spans="1:7" s="10" customFormat="1" ht="10.199999999999999" x14ac:dyDescent="0.35">
      <c r="A252" s="10">
        <f t="shared" si="15"/>
        <v>244</v>
      </c>
      <c r="B252" s="30">
        <f t="shared" si="13"/>
        <v>0.14990437900318379</v>
      </c>
      <c r="C252" s="30">
        <f t="shared" si="14"/>
        <v>13.917809991883546</v>
      </c>
      <c r="D252" s="27">
        <f t="shared" si="16"/>
        <v>40057</v>
      </c>
      <c r="E252" s="27"/>
      <c r="F252" s="27"/>
      <c r="G252" s="27"/>
    </row>
    <row r="253" spans="1:7" s="10" customFormat="1" ht="10.199999999999999" x14ac:dyDescent="0.35">
      <c r="A253" s="10">
        <f t="shared" si="15"/>
        <v>245</v>
      </c>
      <c r="B253" s="30">
        <f t="shared" si="13"/>
        <v>0.14358586577869115</v>
      </c>
      <c r="C253" s="30">
        <f t="shared" si="14"/>
        <v>13.842782999261196</v>
      </c>
      <c r="D253" s="27">
        <f t="shared" si="16"/>
        <v>40058</v>
      </c>
      <c r="E253" s="27"/>
      <c r="F253" s="27"/>
      <c r="G253" s="27"/>
    </row>
    <row r="254" spans="1:7" s="10" customFormat="1" ht="10.199999999999999" x14ac:dyDescent="0.35">
      <c r="A254" s="10">
        <f t="shared" si="15"/>
        <v>246</v>
      </c>
      <c r="B254" s="30">
        <f t="shared" si="13"/>
        <v>0.1372288639010279</v>
      </c>
      <c r="C254" s="30">
        <f t="shared" si="14"/>
        <v>13.767627426354615</v>
      </c>
      <c r="D254" s="27">
        <f t="shared" si="16"/>
        <v>40059</v>
      </c>
      <c r="E254" s="27"/>
      <c r="F254" s="27"/>
      <c r="G254" s="27"/>
    </row>
    <row r="255" spans="1:7" s="10" customFormat="1" ht="10.199999999999999" x14ac:dyDescent="0.35">
      <c r="A255" s="10">
        <f t="shared" si="15"/>
        <v>247</v>
      </c>
      <c r="B255" s="30">
        <f t="shared" si="13"/>
        <v>0.13083493958486095</v>
      </c>
      <c r="C255" s="30">
        <f t="shared" si="14"/>
        <v>13.692351492644571</v>
      </c>
      <c r="D255" s="27">
        <f t="shared" si="16"/>
        <v>40060</v>
      </c>
      <c r="E255" s="27"/>
      <c r="F255" s="27"/>
      <c r="G255" s="27"/>
    </row>
    <row r="256" spans="1:7" s="10" customFormat="1" ht="10.199999999999999" x14ac:dyDescent="0.35">
      <c r="A256" s="10">
        <f t="shared" si="15"/>
        <v>248</v>
      </c>
      <c r="B256" s="30">
        <f t="shared" si="13"/>
        <v>0.12440566135249861</v>
      </c>
      <c r="C256" s="30">
        <f t="shared" si="14"/>
        <v>13.616962981407998</v>
      </c>
      <c r="D256" s="27">
        <f t="shared" si="16"/>
        <v>40061</v>
      </c>
      <c r="E256" s="27"/>
      <c r="F256" s="27"/>
      <c r="G256" s="27"/>
    </row>
    <row r="257" spans="1:7" s="10" customFormat="1" ht="10.199999999999999" x14ac:dyDescent="0.35">
      <c r="A257" s="10">
        <f t="shared" si="15"/>
        <v>249</v>
      </c>
      <c r="B257" s="30">
        <f t="shared" si="13"/>
        <v>0.11794260013308597</v>
      </c>
      <c r="C257" s="30">
        <f t="shared" si="14"/>
        <v>13.541469264117598</v>
      </c>
      <c r="D257" s="27">
        <f t="shared" si="16"/>
        <v>40062</v>
      </c>
      <c r="E257" s="27"/>
      <c r="F257" s="27"/>
      <c r="G257" s="27"/>
    </row>
    <row r="258" spans="1:7" s="10" customFormat="1" ht="10.199999999999999" x14ac:dyDescent="0.35">
      <c r="A258" s="10">
        <f t="shared" si="15"/>
        <v>250</v>
      </c>
      <c r="B258" s="30">
        <f t="shared" si="13"/>
        <v>0.11144732937953419</v>
      </c>
      <c r="C258" s="30">
        <f t="shared" si="14"/>
        <v>13.465877324573826</v>
      </c>
      <c r="D258" s="27">
        <f t="shared" si="16"/>
        <v>40063</v>
      </c>
      <c r="E258" s="27"/>
      <c r="F258" s="27"/>
      <c r="G258" s="27"/>
    </row>
    <row r="259" spans="1:7" s="10" customFormat="1" ht="10.199999999999999" x14ac:dyDescent="0.35">
      <c r="A259" s="10">
        <f t="shared" si="15"/>
        <v>251</v>
      </c>
      <c r="B259" s="30">
        <f t="shared" si="13"/>
        <v>0.10492142520221727</v>
      </c>
      <c r="C259" s="30">
        <f t="shared" si="14"/>
        <v>13.39019378277291</v>
      </c>
      <c r="D259" s="27">
        <f t="shared" si="16"/>
        <v>40064</v>
      </c>
      <c r="E259" s="27"/>
      <c r="F259" s="27"/>
      <c r="G259" s="27"/>
    </row>
    <row r="260" spans="1:7" s="10" customFormat="1" ht="10.199999999999999" x14ac:dyDescent="0.35">
      <c r="A260" s="10">
        <f t="shared" si="15"/>
        <v>252</v>
      </c>
      <c r="B260" s="30">
        <f t="shared" si="13"/>
        <v>9.8366466518461981E-2</v>
      </c>
      <c r="C260" s="30">
        <f t="shared" si="14"/>
        <v>13.314424918517508</v>
      </c>
      <c r="D260" s="27">
        <f t="shared" si="16"/>
        <v>40065</v>
      </c>
      <c r="E260" s="27"/>
      <c r="F260" s="27"/>
      <c r="G260" s="27"/>
    </row>
    <row r="261" spans="1:7" s="10" customFormat="1" ht="10.199999999999999" x14ac:dyDescent="0.35">
      <c r="A261" s="10">
        <f t="shared" si="15"/>
        <v>253</v>
      </c>
      <c r="B261" s="30">
        <f t="shared" si="13"/>
        <v>9.1784035216854076E-2</v>
      </c>
      <c r="C261" s="30">
        <f t="shared" si="14"/>
        <v>13.238576694779429</v>
      </c>
      <c r="D261" s="27">
        <f t="shared" si="16"/>
        <v>40066</v>
      </c>
      <c r="E261" s="27"/>
      <c r="F261" s="27"/>
      <c r="G261" s="27"/>
    </row>
    <row r="262" spans="1:7" s="10" customFormat="1" ht="10.199999999999999" x14ac:dyDescent="0.35">
      <c r="A262" s="10">
        <f t="shared" si="15"/>
        <v>254</v>
      </c>
      <c r="B262" s="30">
        <f t="shared" si="13"/>
        <v>8.5175716335381596E-2</v>
      </c>
      <c r="C262" s="30">
        <f t="shared" si="14"/>
        <v>13.162654780826204</v>
      </c>
      <c r="D262" s="27">
        <f t="shared" si="16"/>
        <v>40067</v>
      </c>
      <c r="E262" s="27"/>
      <c r="F262" s="27"/>
      <c r="G262" s="27"/>
    </row>
    <row r="263" spans="1:7" s="10" customFormat="1" ht="10.199999999999999" x14ac:dyDescent="0.35">
      <c r="A263" s="10">
        <f t="shared" si="15"/>
        <v>255</v>
      </c>
      <c r="B263" s="30">
        <f t="shared" si="13"/>
        <v>7.8543098252427196E-2</v>
      </c>
      <c r="C263" s="30">
        <f t="shared" si="14"/>
        <v>13.086664575125628</v>
      </c>
      <c r="D263" s="27">
        <f t="shared" si="16"/>
        <v>40068</v>
      </c>
      <c r="E263" s="27"/>
      <c r="F263" s="27"/>
      <c r="G263" s="27"/>
    </row>
    <row r="264" spans="1:7" s="10" customFormat="1" ht="10.199999999999999" x14ac:dyDescent="0.35">
      <c r="A264" s="10">
        <f t="shared" si="15"/>
        <v>256</v>
      </c>
      <c r="B264" s="30">
        <f t="shared" si="13"/>
        <v>7.1887772889623558E-2</v>
      </c>
      <c r="C264" s="30">
        <f t="shared" si="14"/>
        <v>13.010611228044317</v>
      </c>
      <c r="D264" s="27">
        <f t="shared" si="16"/>
        <v>40069</v>
      </c>
      <c r="E264" s="27"/>
      <c r="F264" s="27"/>
      <c r="G264" s="27"/>
    </row>
    <row r="265" spans="1:7" s="10" customFormat="1" ht="10.199999999999999" x14ac:dyDescent="0.35">
      <c r="A265" s="10">
        <f t="shared" si="15"/>
        <v>257</v>
      </c>
      <c r="B265" s="30">
        <f t="shared" ref="B265:B328" si="17">ASIN(0.39795*COS(0.2163108+2*ATAN(0.9671396*TAN(0.0086*(A265-186)))))</f>
        <v>6.5211335925576056E-2</v>
      </c>
      <c r="C265" s="30">
        <f t="shared" ref="C265:C328" si="18">24-(24/PI())*ACOS((SIN(0.8333*PI()/180)+SIN($B$4*PI()/180)*SIN(B265))/(COS($B$4*PI()/180)*COS(B265)))</f>
        <v>12.934499664358205</v>
      </c>
      <c r="D265" s="27">
        <f t="shared" si="16"/>
        <v>40070</v>
      </c>
      <c r="E265" s="27"/>
      <c r="F265" s="27"/>
      <c r="G265" s="27"/>
    </row>
    <row r="266" spans="1:7" s="10" customFormat="1" ht="10.199999999999999" x14ac:dyDescent="0.35">
      <c r="A266" s="10">
        <f t="shared" ref="A266:A329" si="19">A265+1</f>
        <v>258</v>
      </c>
      <c r="B266" s="30">
        <f t="shared" si="17"/>
        <v>5.851538701945648E-2</v>
      </c>
      <c r="C266" s="30">
        <f t="shared" si="18"/>
        <v>12.858334605594493</v>
      </c>
      <c r="D266" s="27">
        <f t="shared" ref="D266:D329" si="20">D265+1</f>
        <v>40071</v>
      </c>
      <c r="E266" s="27"/>
      <c r="F266" s="27"/>
      <c r="G266" s="27"/>
    </row>
    <row r="267" spans="1:7" s="10" customFormat="1" ht="10.199999999999999" x14ac:dyDescent="0.35">
      <c r="A267" s="10">
        <f t="shared" si="19"/>
        <v>259</v>
      </c>
      <c r="B267" s="30">
        <f t="shared" si="17"/>
        <v>5.1801530043465584E-2</v>
      </c>
      <c r="C267" s="30">
        <f t="shared" si="18"/>
        <v>12.782120592226043</v>
      </c>
      <c r="D267" s="27">
        <f t="shared" si="20"/>
        <v>40072</v>
      </c>
      <c r="E267" s="27"/>
      <c r="F267" s="27"/>
      <c r="G267" s="27"/>
    </row>
    <row r="268" spans="1:7" s="10" customFormat="1" ht="10.199999999999999" x14ac:dyDescent="0.35">
      <c r="A268" s="10">
        <f t="shared" si="19"/>
        <v>260</v>
      </c>
      <c r="B268" s="30">
        <f t="shared" si="17"/>
        <v>4.5071373323155174E-2</v>
      </c>
      <c r="C268" s="30">
        <f t="shared" si="18"/>
        <v>12.705862005740435</v>
      </c>
      <c r="D268" s="27">
        <f t="shared" si="20"/>
        <v>40073</v>
      </c>
      <c r="E268" s="27"/>
      <c r="F268" s="27"/>
      <c r="G268" s="27"/>
    </row>
    <row r="269" spans="1:7" s="10" customFormat="1" ht="10.199999999999999" x14ac:dyDescent="0.35">
      <c r="A269" s="10">
        <f t="shared" si="19"/>
        <v>261</v>
      </c>
      <c r="B269" s="30">
        <f t="shared" si="17"/>
        <v>3.8326529884595034E-2</v>
      </c>
      <c r="C269" s="30">
        <f t="shared" si="18"/>
        <v>12.629563090607139</v>
      </c>
      <c r="D269" s="27">
        <f t="shared" si="20"/>
        <v>40074</v>
      </c>
      <c r="E269" s="27"/>
      <c r="F269" s="27"/>
      <c r="G269" s="27"/>
    </row>
    <row r="270" spans="1:7" s="10" customFormat="1" ht="10.199999999999999" x14ac:dyDescent="0.35">
      <c r="A270" s="10">
        <f t="shared" si="19"/>
        <v>262</v>
      </c>
      <c r="B270" s="30">
        <f t="shared" si="17"/>
        <v>3.1568617707364653E-2</v>
      </c>
      <c r="C270" s="30">
        <f t="shared" si="18"/>
        <v>12.553227976167161</v>
      </c>
      <c r="D270" s="27">
        <f t="shared" si="20"/>
        <v>40075</v>
      </c>
      <c r="E270" s="27"/>
      <c r="F270" s="27"/>
      <c r="G270" s="27"/>
    </row>
    <row r="271" spans="1:7" s="10" customFormat="1" ht="10.199999999999999" x14ac:dyDescent="0.35">
      <c r="A271" s="10">
        <f t="shared" si="19"/>
        <v>263</v>
      </c>
      <c r="B271" s="30">
        <f t="shared" si="17"/>
        <v>2.4799259982336799E-2</v>
      </c>
      <c r="C271" s="30">
        <f t="shared" si="18"/>
        <v>12.476860698470441</v>
      </c>
      <c r="D271" s="27">
        <f t="shared" si="20"/>
        <v>40076</v>
      </c>
      <c r="E271" s="27"/>
      <c r="F271" s="27"/>
      <c r="G271" s="27"/>
    </row>
    <row r="272" spans="1:7" s="10" customFormat="1" ht="10.199999999999999" x14ac:dyDescent="0.35">
      <c r="A272" s="10">
        <f t="shared" si="19"/>
        <v>264</v>
      </c>
      <c r="B272" s="30">
        <f t="shared" si="17"/>
        <v>1.8020085373216938E-2</v>
      </c>
      <c r="C272" s="30">
        <f t="shared" si="18"/>
        <v>12.40046522208698</v>
      </c>
      <c r="D272" s="27">
        <f t="shared" si="20"/>
        <v>40077</v>
      </c>
      <c r="E272" s="27"/>
      <c r="F272" s="27"/>
      <c r="G272" s="27"/>
    </row>
    <row r="273" spans="1:7" s="10" customFormat="1" ht="10.199999999999999" x14ac:dyDescent="0.35">
      <c r="A273" s="10">
        <f t="shared" si="19"/>
        <v>265</v>
      </c>
      <c r="B273" s="30">
        <f t="shared" si="17"/>
        <v>1.1232728280784856E-2</v>
      </c>
      <c r="C273" s="30">
        <f t="shared" si="18"/>
        <v>12.324045461918308</v>
      </c>
      <c r="D273" s="27">
        <f t="shared" si="20"/>
        <v>40078</v>
      </c>
      <c r="E273" s="27"/>
      <c r="F273" s="27"/>
      <c r="G273" s="27"/>
    </row>
    <row r="274" spans="1:7" s="10" customFormat="1" ht="10.199999999999999" x14ac:dyDescent="0.35">
      <c r="A274" s="10">
        <f t="shared" si="19"/>
        <v>266</v>
      </c>
      <c r="B274" s="30">
        <f t="shared" si="17"/>
        <v>4.4388291087809626E-3</v>
      </c>
      <c r="C274" s="30">
        <f t="shared" si="18"/>
        <v>12.24760530503637</v>
      </c>
      <c r="D274" s="27">
        <f t="shared" si="20"/>
        <v>40079</v>
      </c>
      <c r="E274" s="27"/>
      <c r="F274" s="27"/>
      <c r="G274" s="27"/>
    </row>
    <row r="275" spans="1:7" s="10" customFormat="1" ht="10.199999999999999" x14ac:dyDescent="0.35">
      <c r="A275" s="10">
        <f t="shared" si="19"/>
        <v>267</v>
      </c>
      <c r="B275" s="30">
        <f t="shared" si="17"/>
        <v>-2.3599654696410234E-3</v>
      </c>
      <c r="C275" s="30">
        <f t="shared" si="18"/>
        <v>12.171148632577312</v>
      </c>
      <c r="D275" s="27">
        <f t="shared" si="20"/>
        <v>40080</v>
      </c>
      <c r="E275" s="27"/>
      <c r="F275" s="27"/>
      <c r="G275" s="27"/>
    </row>
    <row r="276" spans="1:7" s="10" customFormat="1" ht="10.199999999999999" x14ac:dyDescent="0.35">
      <c r="A276" s="10">
        <f t="shared" si="19"/>
        <v>268</v>
      </c>
      <c r="B276" s="30">
        <f t="shared" si="17"/>
        <v>-9.16200224598019E-3</v>
      </c>
      <c r="C276" s="30">
        <f t="shared" si="18"/>
        <v>12.094679341717892</v>
      </c>
      <c r="D276" s="27">
        <f t="shared" si="20"/>
        <v>40081</v>
      </c>
      <c r="E276" s="27"/>
      <c r="F276" s="27"/>
      <c r="G276" s="27"/>
    </row>
    <row r="277" spans="1:7" s="10" customFormat="1" ht="10.199999999999999" x14ac:dyDescent="0.35">
      <c r="A277" s="10">
        <f t="shared" si="19"/>
        <v>269</v>
      </c>
      <c r="B277" s="30">
        <f t="shared" si="17"/>
        <v>-1.5965621212080523E-2</v>
      </c>
      <c r="C277" s="30">
        <f t="shared" si="18"/>
        <v>12.018201367762348</v>
      </c>
      <c r="D277" s="27">
        <f t="shared" si="20"/>
        <v>40082</v>
      </c>
      <c r="E277" s="27"/>
      <c r="F277" s="27"/>
      <c r="G277" s="27"/>
    </row>
    <row r="278" spans="1:7" s="10" customFormat="1" ht="10.199999999999999" x14ac:dyDescent="0.35">
      <c r="A278" s="10">
        <f t="shared" si="19"/>
        <v>270</v>
      </c>
      <c r="B278" s="30">
        <f t="shared" si="17"/>
        <v>-2.276915529856801E-2</v>
      </c>
      <c r="C278" s="30">
        <f t="shared" si="18"/>
        <v>11.941718706367654</v>
      </c>
      <c r="D278" s="27">
        <f t="shared" si="20"/>
        <v>40083</v>
      </c>
      <c r="E278" s="27"/>
      <c r="F278" s="27"/>
      <c r="G278" s="27"/>
    </row>
    <row r="279" spans="1:7" s="10" customFormat="1" ht="10.199999999999999" x14ac:dyDescent="0.35">
      <c r="A279" s="10">
        <f t="shared" si="19"/>
        <v>271</v>
      </c>
      <c r="B279" s="30">
        <f t="shared" si="17"/>
        <v>-2.9570930117173759E-2</v>
      </c>
      <c r="C279" s="30">
        <f t="shared" si="18"/>
        <v>11.865235435934915</v>
      </c>
      <c r="D279" s="27">
        <f t="shared" si="20"/>
        <v>40084</v>
      </c>
      <c r="E279" s="27"/>
      <c r="F279" s="27"/>
      <c r="G279" s="27"/>
    </row>
    <row r="280" spans="1:7" s="10" customFormat="1" ht="10.199999999999999" x14ac:dyDescent="0.35">
      <c r="A280" s="10">
        <f t="shared" si="19"/>
        <v>272</v>
      </c>
      <c r="B280" s="30">
        <f t="shared" si="17"/>
        <v>-3.6369263708101736E-2</v>
      </c>
      <c r="C280" s="30">
        <f t="shared" si="18"/>
        <v>11.788755740194469</v>
      </c>
      <c r="D280" s="27">
        <f t="shared" si="20"/>
        <v>40085</v>
      </c>
      <c r="E280" s="27"/>
      <c r="F280" s="27"/>
      <c r="G280" s="27"/>
    </row>
    <row r="281" spans="1:7" s="10" customFormat="1" ht="10.199999999999999" x14ac:dyDescent="0.35">
      <c r="A281" s="10">
        <f t="shared" si="19"/>
        <v>273</v>
      </c>
      <c r="B281" s="30">
        <f t="shared" si="17"/>
        <v>-4.3162466293620916E-2</v>
      </c>
      <c r="C281" s="30">
        <f t="shared" si="18"/>
        <v>11.712283931011909</v>
      </c>
      <c r="D281" s="27">
        <f t="shared" si="20"/>
        <v>40086</v>
      </c>
      <c r="E281" s="27"/>
      <c r="F281" s="27"/>
      <c r="G281" s="27"/>
    </row>
    <row r="282" spans="1:7" s="10" customFormat="1" ht="10.199999999999999" x14ac:dyDescent="0.35">
      <c r="A282" s="10">
        <f t="shared" si="19"/>
        <v>274</v>
      </c>
      <c r="B282" s="30">
        <f t="shared" si="17"/>
        <v>-4.9948840039085098E-2</v>
      </c>
      <c r="C282" s="30">
        <f t="shared" si="18"/>
        <v>11.635824471441683</v>
      </c>
      <c r="D282" s="27">
        <f t="shared" si="20"/>
        <v>40087</v>
      </c>
      <c r="E282" s="27"/>
      <c r="F282" s="27"/>
      <c r="G282" s="27"/>
    </row>
    <row r="283" spans="1:7" s="10" customFormat="1" ht="10.199999999999999" x14ac:dyDescent="0.35">
      <c r="A283" s="10">
        <f t="shared" si="19"/>
        <v>275</v>
      </c>
      <c r="B283" s="30">
        <f t="shared" si="17"/>
        <v>-5.6726678822605625E-2</v>
      </c>
      <c r="C283" s="30">
        <f t="shared" si="18"/>
        <v>11.559381999054402</v>
      </c>
      <c r="D283" s="27">
        <f t="shared" si="20"/>
        <v>40088</v>
      </c>
      <c r="E283" s="27"/>
      <c r="F283" s="27"/>
      <c r="G283" s="27"/>
    </row>
    <row r="284" spans="1:7" s="10" customFormat="1" ht="10.199999999999999" x14ac:dyDescent="0.35">
      <c r="A284" s="10">
        <f t="shared" si="19"/>
        <v>276</v>
      </c>
      <c r="B284" s="30">
        <f t="shared" si="17"/>
        <v>-6.3494268014627736E-2</v>
      </c>
      <c r="C284" s="30">
        <f t="shared" si="18"/>
        <v>11.482961349562961</v>
      </c>
      <c r="D284" s="27">
        <f t="shared" si="20"/>
        <v>40089</v>
      </c>
      <c r="E284" s="27"/>
      <c r="F284" s="27"/>
      <c r="G284" s="27"/>
    </row>
    <row r="285" spans="1:7" s="10" customFormat="1" ht="10.199999999999999" x14ac:dyDescent="0.35">
      <c r="A285" s="10">
        <f t="shared" si="19"/>
        <v>277</v>
      </c>
      <c r="B285" s="30">
        <f t="shared" si="17"/>
        <v>-7.0249884268685808E-2</v>
      </c>
      <c r="C285" s="30">
        <f t="shared" si="18"/>
        <v>11.406567580771908</v>
      </c>
      <c r="D285" s="27">
        <f t="shared" si="20"/>
        <v>40090</v>
      </c>
      <c r="E285" s="27"/>
      <c r="F285" s="27"/>
      <c r="G285" s="27"/>
    </row>
    <row r="286" spans="1:7" s="10" customFormat="1" ht="10.199999999999999" x14ac:dyDescent="0.35">
      <c r="A286" s="10">
        <f t="shared" si="19"/>
        <v>278</v>
      </c>
      <c r="B286" s="30">
        <f t="shared" si="17"/>
        <v>-7.6991795324642467E-2</v>
      </c>
      <c r="C286" s="30">
        <f t="shared" si="18"/>
        <v>11.33020599687298</v>
      </c>
      <c r="D286" s="27">
        <f t="shared" si="20"/>
        <v>40091</v>
      </c>
      <c r="E286" s="27"/>
      <c r="F286" s="27"/>
      <c r="G286" s="27"/>
    </row>
    <row r="287" spans="1:7" s="10" customFormat="1" ht="10.199999999999999" x14ac:dyDescent="0.35">
      <c r="A287" s="10">
        <f t="shared" si="19"/>
        <v>279</v>
      </c>
      <c r="B287" s="30">
        <f t="shared" si="17"/>
        <v>-8.3718259825737829E-2</v>
      </c>
      <c r="C287" s="30">
        <f t="shared" si="18"/>
        <v>11.253882173108641</v>
      </c>
      <c r="D287" s="27">
        <f t="shared" si="20"/>
        <v>40092</v>
      </c>
      <c r="E287" s="27"/>
      <c r="F287" s="27"/>
      <c r="G287" s="27"/>
    </row>
    <row r="288" spans="1:7" s="10" customFormat="1" ht="10.199999999999999" x14ac:dyDescent="0.35">
      <c r="A288" s="10">
        <f t="shared" si="19"/>
        <v>280</v>
      </c>
      <c r="B288" s="30">
        <f t="shared" si="17"/>
        <v>-9.0427527150810635E-2</v>
      </c>
      <c r="C288" s="30">
        <f t="shared" si="18"/>
        <v>11.177601980823709</v>
      </c>
      <c r="D288" s="27">
        <f t="shared" si="20"/>
        <v>40093</v>
      </c>
      <c r="E288" s="27"/>
      <c r="F288" s="27"/>
      <c r="G288" s="27"/>
    </row>
    <row r="289" spans="1:7" s="10" customFormat="1" ht="10.199999999999999" x14ac:dyDescent="0.35">
      <c r="A289" s="10">
        <f t="shared" si="19"/>
        <v>281</v>
      </c>
      <c r="B289" s="30">
        <f t="shared" si="17"/>
        <v>-9.7117837263074755E-2</v>
      </c>
      <c r="C289" s="30">
        <f t="shared" si="18"/>
        <v>11.101371612923396</v>
      </c>
      <c r="D289" s="27">
        <f t="shared" si="20"/>
        <v>40094</v>
      </c>
      <c r="E289" s="27"/>
      <c r="F289" s="27"/>
      <c r="G289" s="27"/>
    </row>
    <row r="290" spans="1:7" s="10" customFormat="1" ht="10.199999999999999" x14ac:dyDescent="0.35">
      <c r="A290" s="10">
        <f t="shared" si="19"/>
        <v>282</v>
      </c>
      <c r="B290" s="30">
        <f t="shared" si="17"/>
        <v>-0.10378742057686806</v>
      </c>
      <c r="C290" s="30">
        <f t="shared" si="18"/>
        <v>11.025197609753953</v>
      </c>
      <c r="D290" s="27">
        <f t="shared" si="20"/>
        <v>40095</v>
      </c>
      <c r="E290" s="27"/>
      <c r="F290" s="27"/>
      <c r="G290" s="27"/>
    </row>
    <row r="291" spans="1:7" s="10" customFormat="1" ht="10.199999999999999" x14ac:dyDescent="0.35">
      <c r="A291" s="10">
        <f t="shared" si="19"/>
        <v>283</v>
      </c>
      <c r="B291" s="30">
        <f t="shared" si="17"/>
        <v>-0.11043449784381584</v>
      </c>
      <c r="C291" s="30">
        <f t="shared" si="18"/>
        <v>10.949086885419828</v>
      </c>
      <c r="D291" s="27">
        <f t="shared" si="20"/>
        <v>40096</v>
      </c>
      <c r="E291" s="27"/>
      <c r="F291" s="27"/>
      <c r="G291" s="27"/>
    </row>
    <row r="292" spans="1:7" s="10" customFormat="1" ht="10.199999999999999" x14ac:dyDescent="0.35">
      <c r="A292" s="10">
        <f t="shared" si="19"/>
        <v>284</v>
      </c>
      <c r="B292" s="30">
        <f t="shared" si="17"/>
        <v>-0.11705728005988271</v>
      </c>
      <c r="C292" s="30">
        <f t="shared" si="18"/>
        <v>10.87304675454846</v>
      </c>
      <c r="D292" s="27">
        <f t="shared" si="20"/>
        <v>40097</v>
      </c>
      <c r="E292" s="27"/>
      <c r="F292" s="27"/>
      <c r="G292" s="27"/>
    </row>
    <row r="293" spans="1:7" s="10" customFormat="1" ht="10.199999999999999" x14ac:dyDescent="0.35">
      <c r="A293" s="10">
        <f t="shared" si="19"/>
        <v>285</v>
      </c>
      <c r="B293" s="30">
        <f t="shared" si="17"/>
        <v>-0.12365396839481139</v>
      </c>
      <c r="C293" s="30">
        <f t="shared" si="18"/>
        <v>10.797084959510942</v>
      </c>
      <c r="D293" s="27">
        <f t="shared" si="20"/>
        <v>40098</v>
      </c>
      <c r="E293" s="27"/>
      <c r="F293" s="27"/>
      <c r="G293" s="27"/>
    </row>
    <row r="294" spans="1:7" s="10" customFormat="1" ht="10.199999999999999" x14ac:dyDescent="0.35">
      <c r="A294" s="10">
        <f t="shared" si="19"/>
        <v>286</v>
      </c>
      <c r="B294" s="30">
        <f t="shared" si="17"/>
        <v>-0.13022275414547718</v>
      </c>
      <c r="C294" s="30">
        <f t="shared" si="18"/>
        <v>10.721209698103316</v>
      </c>
      <c r="D294" s="27">
        <f t="shared" si="20"/>
        <v>40099</v>
      </c>
      <c r="E294" s="27"/>
      <c r="F294" s="27"/>
      <c r="G294" s="27"/>
    </row>
    <row r="295" spans="1:7" s="10" customFormat="1" ht="10.199999999999999" x14ac:dyDescent="0.35">
      <c r="A295" s="10">
        <f t="shared" si="19"/>
        <v>287</v>
      </c>
      <c r="B295" s="30">
        <f t="shared" si="17"/>
        <v>-0.13676181871471219</v>
      </c>
      <c r="C295" s="30">
        <f t="shared" si="18"/>
        <v>10.6454296516896</v>
      </c>
      <c r="D295" s="27">
        <f t="shared" si="20"/>
        <v>40100</v>
      </c>
      <c r="E295" s="27"/>
      <c r="F295" s="27"/>
      <c r="G295" s="27"/>
    </row>
    <row r="296" spans="1:7" s="10" customFormat="1" ht="10.199999999999999" x14ac:dyDescent="0.35">
      <c r="A296" s="10">
        <f t="shared" si="19"/>
        <v>288</v>
      </c>
      <c r="B296" s="30">
        <f t="shared" si="17"/>
        <v>-0.1432693336171742</v>
      </c>
      <c r="C296" s="30">
        <f t="shared" si="18"/>
        <v>10.569754013803369</v>
      </c>
      <c r="D296" s="27">
        <f t="shared" si="20"/>
        <v>40101</v>
      </c>
      <c r="E296" s="27"/>
      <c r="F296" s="27"/>
      <c r="G296" s="27"/>
    </row>
    <row r="297" spans="1:7" s="10" customFormat="1" ht="10.199999999999999" x14ac:dyDescent="0.35">
      <c r="A297" s="10">
        <f t="shared" si="19"/>
        <v>289</v>
      </c>
      <c r="B297" s="30">
        <f t="shared" si="17"/>
        <v>-0.14974346051386658</v>
      </c>
      <c r="C297" s="30">
        <f t="shared" si="18"/>
        <v>10.494192519200158</v>
      </c>
      <c r="D297" s="27">
        <f t="shared" si="20"/>
        <v>40102</v>
      </c>
      <c r="E297" s="27"/>
      <c r="F297" s="27"/>
      <c r="G297" s="27"/>
    </row>
    <row r="298" spans="1:7" s="10" customFormat="1" ht="10.199999999999999" x14ac:dyDescent="0.35">
      <c r="A298" s="10">
        <f t="shared" si="19"/>
        <v>290</v>
      </c>
      <c r="B298" s="30">
        <f t="shared" si="17"/>
        <v>-0.15618235127692465</v>
      </c>
      <c r="C298" s="30">
        <f t="shared" si="18"/>
        <v>10.418755473347771</v>
      </c>
      <c r="D298" s="27">
        <f t="shared" si="20"/>
        <v>40103</v>
      </c>
      <c r="E298" s="27"/>
      <c r="F298" s="27"/>
      <c r="G298" s="27"/>
    </row>
    <row r="299" spans="1:7" s="10" customFormat="1" ht="10.199999999999999" x14ac:dyDescent="0.35">
      <c r="A299" s="10">
        <f t="shared" si="19"/>
        <v>291</v>
      </c>
      <c r="B299" s="30">
        <f t="shared" si="17"/>
        <v>-0.16258414808631289</v>
      </c>
      <c r="C299" s="30">
        <f t="shared" si="18"/>
        <v>10.343453782335905</v>
      </c>
      <c r="D299" s="27">
        <f t="shared" si="20"/>
        <v>40104</v>
      </c>
      <c r="E299" s="27"/>
      <c r="F299" s="27"/>
      <c r="G299" s="27"/>
    </row>
    <row r="300" spans="1:7" s="10" customFormat="1" ht="10.199999999999999" x14ac:dyDescent="0.35">
      <c r="A300" s="10">
        <f t="shared" si="19"/>
        <v>292</v>
      </c>
      <c r="B300" s="30">
        <f t="shared" si="17"/>
        <v>-0.16894698356008389</v>
      </c>
      <c r="C300" s="30">
        <f t="shared" si="18"/>
        <v>10.268298983180314</v>
      </c>
      <c r="D300" s="27">
        <f t="shared" si="20"/>
        <v>40105</v>
      </c>
      <c r="E300" s="27"/>
      <c r="F300" s="27"/>
      <c r="G300" s="27"/>
    </row>
    <row r="301" spans="1:7" s="10" customFormat="1" ht="10.199999999999999" x14ac:dyDescent="0.35">
      <c r="A301" s="10">
        <f t="shared" si="19"/>
        <v>293</v>
      </c>
      <c r="B301" s="30">
        <f t="shared" si="17"/>
        <v>-0.17526898091986423</v>
      </c>
      <c r="C301" s="30">
        <f t="shared" si="18"/>
        <v>10.193303274489832</v>
      </c>
      <c r="D301" s="27">
        <f t="shared" si="20"/>
        <v>40106</v>
      </c>
      <c r="E301" s="27"/>
      <c r="F301" s="27"/>
      <c r="G301" s="27"/>
    </row>
    <row r="302" spans="1:7" s="10" customFormat="1" ht="10.199999999999999" x14ac:dyDescent="0.35">
      <c r="A302" s="10">
        <f t="shared" si="19"/>
        <v>294</v>
      </c>
      <c r="B302" s="30">
        <f t="shared" si="17"/>
        <v>-0.18154825419324044</v>
      </c>
      <c r="C302" s="30">
        <f t="shared" si="18"/>
        <v>10.118479547457117</v>
      </c>
      <c r="D302" s="27">
        <f t="shared" si="20"/>
        <v>40107</v>
      </c>
      <c r="E302" s="27"/>
      <c r="F302" s="27"/>
      <c r="G302" s="27"/>
    </row>
    <row r="303" spans="1:7" s="10" customFormat="1" ht="10.199999999999999" x14ac:dyDescent="0.35">
      <c r="A303" s="10">
        <f t="shared" si="19"/>
        <v>295</v>
      </c>
      <c r="B303" s="30">
        <f t="shared" si="17"/>
        <v>-0.1877829084547176</v>
      </c>
      <c r="C303" s="30">
        <f t="shared" si="18"/>
        <v>10.043841417125757</v>
      </c>
      <c r="D303" s="27">
        <f t="shared" si="20"/>
        <v>40108</v>
      </c>
      <c r="E303" s="27"/>
      <c r="F303" s="27"/>
      <c r="G303" s="27"/>
    </row>
    <row r="304" spans="1:7" s="10" customFormat="1" ht="10.199999999999999" x14ac:dyDescent="0.35">
      <c r="A304" s="10">
        <f t="shared" si="19"/>
        <v>296</v>
      </c>
      <c r="B304" s="30">
        <f t="shared" si="17"/>
        <v>-0.19397104010692148</v>
      </c>
      <c r="C304" s="30">
        <f t="shared" si="18"/>
        <v>9.9694032538774948</v>
      </c>
      <c r="D304" s="27">
        <f t="shared" si="20"/>
        <v>40109</v>
      </c>
      <c r="E304" s="27"/>
      <c r="F304" s="27"/>
      <c r="G304" s="27"/>
    </row>
    <row r="305" spans="1:7" s="10" customFormat="1" ht="10.199999999999999" x14ac:dyDescent="0.35">
      <c r="A305" s="10">
        <f t="shared" si="19"/>
        <v>297</v>
      </c>
      <c r="B305" s="30">
        <f t="shared" si="17"/>
        <v>-0.20011073720370579</v>
      </c>
      <c r="C305" s="30">
        <f t="shared" si="18"/>
        <v>9.895180215073573</v>
      </c>
      <c r="D305" s="27">
        <f t="shared" si="20"/>
        <v>40110</v>
      </c>
      <c r="E305" s="27"/>
      <c r="F305" s="27"/>
      <c r="G305" s="27"/>
    </row>
    <row r="306" spans="1:7" s="10" customFormat="1" ht="10.199999999999999" x14ac:dyDescent="0.35">
      <c r="A306" s="10">
        <f t="shared" si="19"/>
        <v>298</v>
      </c>
      <c r="B306" s="30">
        <f t="shared" si="17"/>
        <v>-0.20620007981681013</v>
      </c>
      <c r="C306" s="30">
        <f t="shared" si="18"/>
        <v>9.8211882767737677</v>
      </c>
      <c r="D306" s="27">
        <f t="shared" si="20"/>
        <v>40111</v>
      </c>
      <c r="E306" s="27"/>
      <c r="F306" s="27"/>
      <c r="G306" s="27"/>
    </row>
    <row r="307" spans="1:7" s="10" customFormat="1" ht="10.199999999999999" x14ac:dyDescent="0.35">
      <c r="A307" s="10">
        <f t="shared" si="19"/>
        <v>299</v>
      </c>
      <c r="B307" s="30">
        <f t="shared" si="17"/>
        <v>-0.2122371404476939</v>
      </c>
      <c r="C307" s="30">
        <f t="shared" si="18"/>
        <v>9.7474442654452353</v>
      </c>
      <c r="D307" s="27">
        <f t="shared" si="20"/>
        <v>40112</v>
      </c>
      <c r="E307" s="27"/>
      <c r="F307" s="27"/>
      <c r="G307" s="27"/>
    </row>
    <row r="308" spans="1:7" s="10" customFormat="1" ht="10.199999999999999" x14ac:dyDescent="0.35">
      <c r="A308" s="10">
        <f t="shared" si="19"/>
        <v>300</v>
      </c>
      <c r="B308" s="30">
        <f t="shared" si="17"/>
        <v>-0.21821998448613558</v>
      </c>
      <c r="C308" s="30">
        <f t="shared" si="18"/>
        <v>9.6739658895611527</v>
      </c>
      <c r="D308" s="27">
        <f t="shared" si="20"/>
        <v>40113</v>
      </c>
      <c r="E308" s="27"/>
      <c r="F308" s="27"/>
      <c r="G308" s="27"/>
    </row>
    <row r="309" spans="1:7" s="10" customFormat="1" ht="10.199999999999999" x14ac:dyDescent="0.35">
      <c r="A309" s="10">
        <f t="shared" si="19"/>
        <v>301</v>
      </c>
      <c r="B309" s="30">
        <f t="shared" si="17"/>
        <v>-0.22414667071715533</v>
      </c>
      <c r="C309" s="30">
        <f t="shared" si="18"/>
        <v>9.6007717709758804</v>
      </c>
      <c r="D309" s="27">
        <f t="shared" si="20"/>
        <v>40114</v>
      </c>
      <c r="E309" s="27"/>
      <c r="F309" s="27"/>
      <c r="G309" s="27"/>
    </row>
    <row r="310" spans="1:7" s="10" customFormat="1" ht="10.199999999999999" x14ac:dyDescent="0.35">
      <c r="A310" s="10">
        <f t="shared" si="19"/>
        <v>302</v>
      </c>
      <c r="B310" s="30">
        <f t="shared" si="17"/>
        <v>-0.23001525187776373</v>
      </c>
      <c r="C310" s="30">
        <f t="shared" si="18"/>
        <v>9.5278814759494335</v>
      </c>
      <c r="D310" s="27">
        <f t="shared" si="20"/>
        <v>40115</v>
      </c>
      <c r="E310" s="27"/>
      <c r="F310" s="27"/>
      <c r="G310" s="27"/>
    </row>
    <row r="311" spans="1:7" s="10" customFormat="1" ht="10.199999999999999" x14ac:dyDescent="0.35">
      <c r="A311" s="10">
        <f t="shared" si="19"/>
        <v>303</v>
      </c>
      <c r="B311" s="30">
        <f t="shared" si="17"/>
        <v>-0.2358237752649886</v>
      </c>
      <c r="C311" s="30">
        <f t="shared" si="18"/>
        <v>9.4553155456788627</v>
      </c>
      <c r="D311" s="27">
        <f t="shared" si="20"/>
        <v>40116</v>
      </c>
      <c r="E311" s="27"/>
      <c r="F311" s="27"/>
      <c r="G311" s="27"/>
    </row>
    <row r="312" spans="1:7" s="10" customFormat="1" ht="10.199999999999999" x14ac:dyDescent="0.35">
      <c r="A312" s="10">
        <f t="shared" si="19"/>
        <v>304</v>
      </c>
      <c r="B312" s="30">
        <f t="shared" si="17"/>
        <v>-0.24157028339655812</v>
      </c>
      <c r="C312" s="30">
        <f t="shared" si="18"/>
        <v>9.3830955261783764</v>
      </c>
      <c r="D312" s="27">
        <f t="shared" si="20"/>
        <v>40117</v>
      </c>
      <c r="E312" s="27"/>
      <c r="F312" s="27"/>
      <c r="G312" s="27"/>
    </row>
    <row r="313" spans="1:7" s="10" customFormat="1" ht="10.199999999999999" x14ac:dyDescent="0.35">
      <c r="A313" s="10">
        <f t="shared" si="19"/>
        <v>305</v>
      </c>
      <c r="B313" s="30">
        <f t="shared" si="17"/>
        <v>-0.24725281472554392</v>
      </c>
      <c r="C313" s="30">
        <f t="shared" si="18"/>
        <v>9.3112439973329533</v>
      </c>
      <c r="D313" s="27">
        <f t="shared" si="20"/>
        <v>40118</v>
      </c>
      <c r="E313" s="27"/>
      <c r="F313" s="27"/>
      <c r="G313" s="27"/>
    </row>
    <row r="314" spans="1:7" s="10" customFormat="1" ht="10.199999999999999" x14ac:dyDescent="0.35">
      <c r="A314" s="10">
        <f t="shared" si="19"/>
        <v>306</v>
      </c>
      <c r="B314" s="30">
        <f t="shared" si="17"/>
        <v>-0.25286940441017458</v>
      </c>
      <c r="C314" s="30">
        <f t="shared" si="18"/>
        <v>9.2397846009325164</v>
      </c>
      <c r="D314" s="27">
        <f t="shared" si="20"/>
        <v>40119</v>
      </c>
      <c r="E314" s="27"/>
      <c r="F314" s="27"/>
      <c r="G314" s="27"/>
    </row>
    <row r="315" spans="1:7" s="10" customFormat="1" ht="10.199999999999999" x14ac:dyDescent="0.35">
      <c r="A315" s="10">
        <f t="shared" si="19"/>
        <v>307</v>
      </c>
      <c r="B315" s="30">
        <f t="shared" si="17"/>
        <v>-0.25841808513993075</v>
      </c>
      <c r="C315" s="30">
        <f t="shared" si="18"/>
        <v>9.1687420674749873</v>
      </c>
      <c r="D315" s="27">
        <f t="shared" si="20"/>
        <v>40120</v>
      </c>
      <c r="E315" s="27"/>
      <c r="F315" s="27"/>
      <c r="G315" s="27"/>
    </row>
    <row r="316" spans="1:7" s="10" customFormat="1" ht="10.199999999999999" x14ac:dyDescent="0.35">
      <c r="A316" s="10">
        <f t="shared" si="19"/>
        <v>308</v>
      </c>
      <c r="B316" s="30">
        <f t="shared" si="17"/>
        <v>-0.26389688801891376</v>
      </c>
      <c r="C316" s="30">
        <f t="shared" si="18"/>
        <v>9.098142241507098</v>
      </c>
      <c r="D316" s="27">
        <f t="shared" si="20"/>
        <v>40121</v>
      </c>
      <c r="E316" s="27"/>
      <c r="F316" s="27"/>
      <c r="G316" s="27"/>
    </row>
    <row r="317" spans="1:7" s="10" customFormat="1" ht="10.199999999999999" x14ac:dyDescent="0.35">
      <c r="A317" s="10">
        <f t="shared" si="19"/>
        <v>309</v>
      </c>
      <c r="B317" s="30">
        <f t="shared" si="17"/>
        <v>-0.2693038435073542</v>
      </c>
      <c r="C317" s="30">
        <f t="shared" si="18"/>
        <v>9.0280121052515767</v>
      </c>
      <c r="D317" s="27">
        <f t="shared" si="20"/>
        <v>40122</v>
      </c>
      <c r="E317" s="27"/>
      <c r="F317" s="27"/>
      <c r="G317" s="27"/>
    </row>
    <row r="318" spans="1:7" s="10" customFormat="1" ht="10.199999999999999" x14ac:dyDescent="0.35">
      <c r="A318" s="10">
        <f t="shared" si="19"/>
        <v>310</v>
      </c>
      <c r="B318" s="30">
        <f t="shared" si="17"/>
        <v>-0.27463698242198459</v>
      </c>
      <c r="C318" s="30">
        <f t="shared" si="18"/>
        <v>8.9583798002486361</v>
      </c>
      <c r="D318" s="27">
        <f t="shared" si="20"/>
        <v>40123</v>
      </c>
      <c r="E318" s="27"/>
      <c r="F318" s="27"/>
      <c r="G318" s="27"/>
    </row>
    <row r="319" spans="1:7" s="10" customFormat="1" ht="10.199999999999999" x14ac:dyDescent="0.35">
      <c r="A319" s="10">
        <f t="shared" si="19"/>
        <v>311</v>
      </c>
      <c r="B319" s="30">
        <f t="shared" si="17"/>
        <v>-0.27989433699584532</v>
      </c>
      <c r="C319" s="30">
        <f t="shared" si="18"/>
        <v>8.8892746467182224</v>
      </c>
      <c r="D319" s="27">
        <f t="shared" si="20"/>
        <v>40124</v>
      </c>
      <c r="E319" s="27"/>
      <c r="F319" s="27"/>
      <c r="G319" s="27"/>
    </row>
    <row r="320" spans="1:7" s="10" customFormat="1" ht="10.199999999999999" x14ac:dyDescent="0.35">
      <c r="A320" s="10">
        <f t="shared" si="19"/>
        <v>312</v>
      </c>
      <c r="B320" s="30">
        <f t="shared" si="17"/>
        <v>-0.28507394199791908</v>
      </c>
      <c r="C320" s="30">
        <f t="shared" si="18"/>
        <v>8.8207271603282269</v>
      </c>
      <c r="D320" s="27">
        <f t="shared" si="20"/>
        <v>40125</v>
      </c>
      <c r="E320" s="27"/>
      <c r="F320" s="27"/>
      <c r="G320" s="27"/>
    </row>
    <row r="321" spans="1:7" s="10" customFormat="1" ht="10.199999999999999" x14ac:dyDescent="0.35">
      <c r="A321" s="10">
        <f t="shared" si="19"/>
        <v>313</v>
      </c>
      <c r="B321" s="30">
        <f t="shared" si="17"/>
        <v>-0.29017383591281248</v>
      </c>
      <c r="C321" s="30">
        <f t="shared" si="18"/>
        <v>8.752769066032041</v>
      </c>
      <c r="D321" s="27">
        <f t="shared" si="20"/>
        <v>40126</v>
      </c>
      <c r="E321" s="27"/>
      <c r="F321" s="27"/>
      <c r="G321" s="27"/>
    </row>
    <row r="322" spans="1:7" s="10" customFormat="1" ht="10.199999999999999" x14ac:dyDescent="0.35">
      <c r="A322" s="10">
        <f t="shared" si="19"/>
        <v>314</v>
      </c>
      <c r="B322" s="30">
        <f t="shared" si="17"/>
        <v>-0.29519206218049482</v>
      </c>
      <c r="C322" s="30">
        <f t="shared" si="18"/>
        <v>8.6854333086176432</v>
      </c>
      <c r="D322" s="27">
        <f t="shared" si="20"/>
        <v>40127</v>
      </c>
      <c r="E322" s="27"/>
      <c r="F322" s="27"/>
      <c r="G322" s="27"/>
    </row>
    <row r="323" spans="1:7" s="10" customFormat="1" ht="10.199999999999999" x14ac:dyDescent="0.35">
      <c r="A323" s="10">
        <f t="shared" si="19"/>
        <v>315</v>
      </c>
      <c r="B323" s="30">
        <f t="shared" si="17"/>
        <v>-0.30012667049590064</v>
      </c>
      <c r="C323" s="30">
        <f t="shared" si="18"/>
        <v>8.6187540595895769</v>
      </c>
      <c r="D323" s="27">
        <f t="shared" si="20"/>
        <v>40128</v>
      </c>
      <c r="E323" s="27"/>
      <c r="F323" s="27"/>
      <c r="G323" s="27"/>
    </row>
    <row r="324" spans="1:7" s="10" customFormat="1" ht="10.199999999999999" x14ac:dyDescent="0.35">
      <c r="A324" s="10">
        <f t="shared" si="19"/>
        <v>316</v>
      </c>
      <c r="B324" s="30">
        <f t="shared" si="17"/>
        <v>-0.30497571816797076</v>
      </c>
      <c r="C324" s="30">
        <f t="shared" si="18"/>
        <v>8.552766719985204</v>
      </c>
      <c r="D324" s="27">
        <f t="shared" si="20"/>
        <v>40129</v>
      </c>
      <c r="E324" s="27"/>
      <c r="F324" s="27"/>
      <c r="G324" s="27"/>
    </row>
    <row r="325" spans="1:7" s="10" customFormat="1" ht="10.199999999999999" x14ac:dyDescent="0.35">
      <c r="A325" s="10">
        <f t="shared" si="19"/>
        <v>317</v>
      </c>
      <c r="B325" s="30">
        <f t="shared" si="17"/>
        <v>-0.30973727153746222</v>
      </c>
      <c r="C325" s="30">
        <f t="shared" si="18"/>
        <v>8.4875079187083298</v>
      </c>
      <c r="D325" s="27">
        <f t="shared" si="20"/>
        <v>40130</v>
      </c>
      <c r="E325" s="27"/>
      <c r="F325" s="27"/>
      <c r="G325" s="27"/>
    </row>
    <row r="326" spans="1:7" s="10" customFormat="1" ht="10.199999999999999" x14ac:dyDescent="0.35">
      <c r="A326" s="10">
        <f t="shared" si="19"/>
        <v>318</v>
      </c>
      <c r="B326" s="30">
        <f t="shared" si="17"/>
        <v>-0.31440940745261264</v>
      </c>
      <c r="C326" s="30">
        <f t="shared" si="18"/>
        <v>8.4230155059463101</v>
      </c>
      <c r="D326" s="27">
        <f t="shared" si="20"/>
        <v>40131</v>
      </c>
      <c r="E326" s="27"/>
      <c r="F326" s="27"/>
      <c r="G326" s="27"/>
    </row>
    <row r="327" spans="1:7" s="10" customFormat="1" ht="10.199999999999999" x14ac:dyDescent="0.35">
      <c r="A327" s="10">
        <f t="shared" si="19"/>
        <v>319</v>
      </c>
      <c r="B327" s="30">
        <f t="shared" si="17"/>
        <v>-0.318990214801466</v>
      </c>
      <c r="C327" s="30">
        <f t="shared" si="18"/>
        <v>8.359328541222748</v>
      </c>
      <c r="D327" s="27">
        <f t="shared" si="20"/>
        <v>40132</v>
      </c>
      <c r="E327" s="27"/>
      <c r="F327" s="27"/>
      <c r="G327" s="27"/>
    </row>
    <row r="328" spans="1:7" s="10" customFormat="1" ht="10.199999999999999" x14ac:dyDescent="0.35">
      <c r="A328" s="10">
        <f t="shared" si="19"/>
        <v>320</v>
      </c>
      <c r="B328" s="30">
        <f t="shared" si="17"/>
        <v>-0.32347779609939875</v>
      </c>
      <c r="C328" s="30">
        <f t="shared" si="18"/>
        <v>8.2964872756264683</v>
      </c>
      <c r="D328" s="27">
        <f t="shared" si="20"/>
        <v>40133</v>
      </c>
      <c r="E328" s="27"/>
      <c r="F328" s="27"/>
      <c r="G328" s="27"/>
    </row>
    <row r="329" spans="1:7" s="10" customFormat="1" ht="10.199999999999999" x14ac:dyDescent="0.35">
      <c r="A329" s="10">
        <f t="shared" si="19"/>
        <v>321</v>
      </c>
      <c r="B329" s="30">
        <f t="shared" ref="B329:B373" si="21">ASIN(0.39795*COS(0.2163108+2*ATAN(0.9671396*TAN(0.0086*(A329-186)))))</f>
        <v>-0.32787026913008305</v>
      </c>
      <c r="C329" s="30">
        <f t="shared" ref="C329:C373" si="22">24-(24/PI())*ACOS((SIN(0.8333*PI()/180)+SIN($B$4*PI()/180)*SIN(B329))/(COS($B$4*PI()/180)*COS(B329)))</f>
        <v>8.2345331277499625</v>
      </c>
      <c r="D329" s="27">
        <f t="shared" si="20"/>
        <v>40134</v>
      </c>
      <c r="E329" s="27"/>
      <c r="F329" s="27"/>
      <c r="G329" s="27"/>
    </row>
    <row r="330" spans="1:7" s="10" customFormat="1" ht="10.199999999999999" x14ac:dyDescent="0.35">
      <c r="A330" s="10">
        <f t="shared" ref="A330:A373" si="23">A329+1</f>
        <v>322</v>
      </c>
      <c r="B330" s="30">
        <f t="shared" si="21"/>
        <v>-0.33216576863783853</v>
      </c>
      <c r="C330" s="30">
        <f t="shared" si="22"/>
        <v>8.1735086528673335</v>
      </c>
      <c r="D330" s="27">
        <f t="shared" ref="D330:D373" si="24">D329+1</f>
        <v>40135</v>
      </c>
      <c r="E330" s="27"/>
      <c r="F330" s="27"/>
      <c r="G330" s="27"/>
    </row>
    <row r="331" spans="1:7" s="10" customFormat="1" ht="10.199999999999999" x14ac:dyDescent="0.35">
      <c r="A331" s="10">
        <f t="shared" si="23"/>
        <v>323</v>
      </c>
      <c r="B331" s="30">
        <f t="shared" si="21"/>
        <v>-0.33636244806900062</v>
      </c>
      <c r="C331" s="30">
        <f t="shared" si="22"/>
        <v>8.1134575048839093</v>
      </c>
      <c r="D331" s="27">
        <f t="shared" si="24"/>
        <v>40136</v>
      </c>
      <c r="E331" s="27"/>
      <c r="F331" s="27"/>
      <c r="G331" s="27"/>
    </row>
    <row r="332" spans="1:7" s="10" customFormat="1" ht="10.199999999999999" x14ac:dyDescent="0.35">
      <c r="A332" s="10">
        <f t="shared" si="23"/>
        <v>324</v>
      </c>
      <c r="B332" s="30">
        <f t="shared" si="21"/>
        <v>-0.34045848135963125</v>
      </c>
      <c r="C332" s="30">
        <f t="shared" si="22"/>
        <v>8.0544243905977311</v>
      </c>
      <c r="D332" s="27">
        <f t="shared" si="24"/>
        <v>40137</v>
      </c>
      <c r="E332" s="27"/>
      <c r="F332" s="27"/>
      <c r="G332" s="27"/>
    </row>
    <row r="333" spans="1:7" s="10" customFormat="1" ht="10.199999999999999" x14ac:dyDescent="0.35">
      <c r="A333" s="10">
        <f t="shared" si="23"/>
        <v>325</v>
      </c>
      <c r="B333" s="30">
        <f t="shared" si="21"/>
        <v>-0.34445206476656709</v>
      </c>
      <c r="C333" s="30">
        <f t="shared" si="22"/>
        <v>7.996455015828392</v>
      </c>
      <c r="D333" s="27">
        <f t="shared" si="24"/>
        <v>40138</v>
      </c>
      <c r="E333" s="27"/>
      <c r="F333" s="27"/>
      <c r="G333" s="27"/>
    </row>
    <row r="334" spans="1:7" s="10" customFormat="1" ht="10.199999999999999" x14ac:dyDescent="0.35">
      <c r="A334" s="10">
        <f t="shared" si="23"/>
        <v>326</v>
      </c>
      <c r="B334" s="30">
        <f t="shared" si="21"/>
        <v>-0.34834141873848645</v>
      </c>
      <c r="C334" s="30">
        <f t="shared" si="22"/>
        <v>7.9395960229913456</v>
      </c>
      <c r="D334" s="27">
        <f t="shared" si="24"/>
        <v>40139</v>
      </c>
      <c r="E334" s="27"/>
      <c r="F334" s="27"/>
      <c r="G334" s="27"/>
    </row>
    <row r="335" spans="1:7" s="10" customFormat="1" ht="10.199999999999999" x14ac:dyDescent="0.35">
      <c r="A335" s="10">
        <f t="shared" si="23"/>
        <v>327</v>
      </c>
      <c r="B335" s="30">
        <f t="shared" si="21"/>
        <v>-0.35212478982334283</v>
      </c>
      <c r="C335" s="30">
        <f t="shared" si="22"/>
        <v>7.8838949197275525</v>
      </c>
      <c r="D335" s="27">
        <f t="shared" si="24"/>
        <v>40140</v>
      </c>
      <c r="E335" s="27"/>
      <c r="F335" s="27"/>
      <c r="G335" s="27"/>
    </row>
    <row r="336" spans="1:7" s="10" customFormat="1" ht="10.199999999999999" x14ac:dyDescent="0.35">
      <c r="A336" s="10">
        <f t="shared" si="23"/>
        <v>328</v>
      </c>
      <c r="B336" s="30">
        <f t="shared" si="21"/>
        <v>-0.35580045260819554</v>
      </c>
      <c r="C336" s="30">
        <f t="shared" si="22"/>
        <v>7.8293999982392499</v>
      </c>
      <c r="D336" s="27">
        <f t="shared" si="24"/>
        <v>40141</v>
      </c>
      <c r="E336" s="27"/>
      <c r="F336" s="27"/>
      <c r="G336" s="27"/>
    </row>
    <row r="337" spans="1:7" s="10" customFormat="1" ht="10.199999999999999" x14ac:dyDescent="0.35">
      <c r="A337" s="10">
        <f t="shared" si="23"/>
        <v>329</v>
      </c>
      <c r="B337" s="30">
        <f t="shared" si="21"/>
        <v>-0.3593667116871464</v>
      </c>
      <c r="C337" s="30">
        <f t="shared" si="22"/>
        <v>7.7761602450341414</v>
      </c>
      <c r="D337" s="27">
        <f t="shared" si="24"/>
        <v>40142</v>
      </c>
      <c r="E337" s="27"/>
      <c r="F337" s="27"/>
      <c r="G337" s="27"/>
    </row>
    <row r="338" spans="1:7" s="10" customFormat="1" ht="10.199999999999999" x14ac:dyDescent="0.35">
      <c r="A338" s="10">
        <f t="shared" si="23"/>
        <v>330</v>
      </c>
      <c r="B338" s="30">
        <f t="shared" si="21"/>
        <v>-0.36282190365277839</v>
      </c>
      <c r="C338" s="30">
        <f t="shared" si="22"/>
        <v>7.7242252408425145</v>
      </c>
      <c r="D338" s="27">
        <f t="shared" si="24"/>
        <v>40143</v>
      </c>
      <c r="E338" s="27"/>
      <c r="F338" s="27"/>
      <c r="G338" s="27"/>
    </row>
    <row r="339" spans="1:7" s="10" customFormat="1" ht="10.199999999999999" x14ac:dyDescent="0.35">
      <c r="A339" s="10">
        <f t="shared" si="23"/>
        <v>331</v>
      </c>
      <c r="B339" s="30">
        <f t="shared" si="21"/>
        <v>-0.36616439910618587</v>
      </c>
      <c r="C339" s="30">
        <f t="shared" si="22"/>
        <v>7.6736450505458222</v>
      </c>
      <c r="D339" s="27">
        <f t="shared" si="24"/>
        <v>40144</v>
      </c>
      <c r="E339" s="27"/>
      <c r="F339" s="27"/>
      <c r="G339" s="27"/>
    </row>
    <row r="340" spans="1:7" s="10" customFormat="1" ht="10.199999999999999" x14ac:dyDescent="0.35">
      <c r="A340" s="10">
        <f t="shared" si="23"/>
        <v>332</v>
      </c>
      <c r="B340" s="30">
        <f t="shared" si="21"/>
        <v>-0.36939260468039764</v>
      </c>
      <c r="C340" s="30">
        <f t="shared" si="22"/>
        <v>7.624470103041002</v>
      </c>
      <c r="D340" s="27">
        <f t="shared" si="24"/>
        <v>40145</v>
      </c>
      <c r="E340" s="27"/>
      <c r="F340" s="27"/>
      <c r="G340" s="27"/>
    </row>
    <row r="341" spans="1:7" s="10" customFormat="1" ht="10.199999999999999" x14ac:dyDescent="0.35">
      <c r="A341" s="10">
        <f t="shared" si="23"/>
        <v>333</v>
      </c>
      <c r="B341" s="30">
        <f t="shared" si="21"/>
        <v>-0.3725049650717121</v>
      </c>
      <c r="C341" s="30">
        <f t="shared" si="22"/>
        <v>7.5767510610626196</v>
      </c>
      <c r="D341" s="27">
        <f t="shared" si="24"/>
        <v>40146</v>
      </c>
      <c r="E341" s="27"/>
      <c r="F341" s="27"/>
      <c r="G341" s="27"/>
    </row>
    <row r="342" spans="1:7" s="10" customFormat="1" ht="10.199999999999999" x14ac:dyDescent="0.35">
      <c r="A342" s="10">
        <f t="shared" si="23"/>
        <v>334</v>
      </c>
      <c r="B342" s="30">
        <f t="shared" si="21"/>
        <v>-0.37549996507320677</v>
      </c>
      <c r="C342" s="30">
        <f t="shared" si="22"/>
        <v>7.5305386810947681</v>
      </c>
      <c r="D342" s="27">
        <f t="shared" si="24"/>
        <v>40147</v>
      </c>
      <c r="E342" s="27"/>
      <c r="F342" s="27"/>
      <c r="G342" s="27"/>
    </row>
    <row r="343" spans="1:7" s="10" customFormat="1" ht="10.199999999999999" x14ac:dyDescent="0.35">
      <c r="A343" s="10">
        <f t="shared" si="23"/>
        <v>335</v>
      </c>
      <c r="B343" s="30">
        <f t="shared" si="21"/>
        <v>-0.37837613160444422</v>
      </c>
      <c r="C343" s="30">
        <f t="shared" si="22"/>
        <v>7.485883663625863</v>
      </c>
      <c r="D343" s="27">
        <f t="shared" si="24"/>
        <v>40148</v>
      </c>
      <c r="E343" s="27"/>
      <c r="F343" s="27"/>
      <c r="G343" s="27"/>
    </row>
    <row r="344" spans="1:7" s="10" customFormat="1" ht="10.199999999999999" x14ac:dyDescent="0.35">
      <c r="A344" s="10">
        <f t="shared" si="23"/>
        <v>336</v>
      </c>
      <c r="B344" s="30">
        <f t="shared" si="21"/>
        <v>-0.3811320357311801</v>
      </c>
      <c r="C344" s="30">
        <f t="shared" si="22"/>
        <v>7.4428364941313383</v>
      </c>
      <c r="D344" s="27">
        <f t="shared" si="24"/>
        <v>40149</v>
      </c>
      <c r="E344" s="27"/>
      <c r="F344" s="27"/>
      <c r="G344" s="27"/>
    </row>
    <row r="345" spans="1:7" s="10" customFormat="1" ht="10.199999999999999" x14ac:dyDescent="0.35">
      <c r="A345" s="10">
        <f t="shared" si="23"/>
        <v>337</v>
      </c>
      <c r="B345" s="30">
        <f t="shared" si="21"/>
        <v>-0.38376629466869333</v>
      </c>
      <c r="C345" s="30">
        <f t="shared" si="22"/>
        <v>7.4014472753107015</v>
      </c>
      <c r="D345" s="27">
        <f t="shared" si="24"/>
        <v>40150</v>
      </c>
      <c r="E345" s="27"/>
      <c r="F345" s="27"/>
      <c r="G345" s="27"/>
    </row>
    <row r="346" spans="1:7" s="10" customFormat="1" ht="10.199999999999999" x14ac:dyDescent="0.35">
      <c r="A346" s="10">
        <f t="shared" si="23"/>
        <v>338</v>
      </c>
      <c r="B346" s="30">
        <f t="shared" si="21"/>
        <v>-0.38627757376219352</v>
      </c>
      <c r="C346" s="30">
        <f t="shared" si="22"/>
        <v>7.3617655512544928</v>
      </c>
      <c r="D346" s="27">
        <f t="shared" si="24"/>
        <v>40151</v>
      </c>
      <c r="E346" s="27"/>
      <c r="F346" s="27"/>
      <c r="G346" s="27"/>
    </row>
    <row r="347" spans="1:7" s="10" customFormat="1" ht="10.199999999999999" x14ac:dyDescent="0.35">
      <c r="A347" s="10">
        <f t="shared" si="23"/>
        <v>339</v>
      </c>
      <c r="B347" s="30">
        <f t="shared" si="21"/>
        <v>-0.38866458843764068</v>
      </c>
      <c r="C347" s="30">
        <f t="shared" si="22"/>
        <v>7.3238401243715714</v>
      </c>
      <c r="D347" s="27">
        <f t="shared" si="24"/>
        <v>40152</v>
      </c>
      <c r="E347" s="27"/>
      <c r="F347" s="27"/>
      <c r="G347" s="27"/>
    </row>
    <row r="348" spans="1:7" s="10" customFormat="1" ht="10.199999999999999" x14ac:dyDescent="0.35">
      <c r="A348" s="10">
        <f t="shared" si="23"/>
        <v>340</v>
      </c>
      <c r="B348" s="30">
        <f t="shared" si="21"/>
        <v>-0.39092610611621337</v>
      </c>
      <c r="C348" s="30">
        <f t="shared" si="22"/>
        <v>7.287718866065191</v>
      </c>
      <c r="D348" s="27">
        <f t="shared" si="24"/>
        <v>40153</v>
      </c>
      <c r="E348" s="27"/>
      <c r="F348" s="27"/>
      <c r="G348" s="27"/>
    </row>
    <row r="349" spans="1:7" s="10" customFormat="1" ht="10.199999999999999" x14ac:dyDescent="0.35">
      <c r="A349" s="10">
        <f t="shared" si="23"/>
        <v>341</v>
      </c>
      <c r="B349" s="30">
        <f t="shared" si="21"/>
        <v>-0.39306094808561032</v>
      </c>
      <c r="C349" s="30">
        <f t="shared" si="22"/>
        <v>7.2534485223045522</v>
      </c>
      <c r="D349" s="27">
        <f t="shared" si="24"/>
        <v>40154</v>
      </c>
      <c r="E349" s="27"/>
      <c r="F349" s="27"/>
      <c r="G349" s="27"/>
    </row>
    <row r="350" spans="1:7" s="10" customFormat="1" ht="10.199999999999999" x14ac:dyDescent="0.35">
      <c r="A350" s="10">
        <f t="shared" si="23"/>
        <v>342</v>
      </c>
      <c r="B350" s="30">
        <f t="shared" si="21"/>
        <v>-0.39506799132135123</v>
      </c>
      <c r="C350" s="30">
        <f t="shared" si="22"/>
        <v>7.2210745153933686</v>
      </c>
      <c r="D350" s="27">
        <f t="shared" si="24"/>
        <v>40155</v>
      </c>
      <c r="E350" s="27"/>
      <c r="F350" s="27"/>
      <c r="G350" s="27"/>
    </row>
    <row r="351" spans="1:7" s="10" customFormat="1" ht="10.199999999999999" x14ac:dyDescent="0.35">
      <c r="A351" s="10">
        <f t="shared" si="23"/>
        <v>343</v>
      </c>
      <c r="B351" s="30">
        <f t="shared" si="21"/>
        <v>-0.39694617025126916</v>
      </c>
      <c r="C351" s="30">
        <f t="shared" si="22"/>
        <v>7.190640743385103</v>
      </c>
      <c r="D351" s="27">
        <f t="shared" si="24"/>
        <v>40156</v>
      </c>
      <c r="E351" s="27"/>
      <c r="F351" s="27"/>
      <c r="G351" s="27"/>
    </row>
    <row r="352" spans="1:7" s="10" customFormat="1" ht="10.199999999999999" x14ac:dyDescent="0.35">
      <c r="A352" s="10">
        <f t="shared" si="23"/>
        <v>344</v>
      </c>
      <c r="B352" s="30">
        <f t="shared" si="21"/>
        <v>-0.3986944784564509</v>
      </c>
      <c r="C352" s="30">
        <f t="shared" si="22"/>
        <v>7.1621893787312985</v>
      </c>
      <c r="D352" s="27">
        <f t="shared" si="24"/>
        <v>40157</v>
      </c>
      <c r="E352" s="27"/>
      <c r="F352" s="27"/>
      <c r="G352" s="27"/>
    </row>
    <row r="353" spans="1:7" s="10" customFormat="1" ht="10.199999999999999" x14ac:dyDescent="0.35">
      <c r="A353" s="10">
        <f t="shared" si="23"/>
        <v>345</v>
      </c>
      <c r="B353" s="30">
        <f t="shared" si="21"/>
        <v>-0.40031197030199439</v>
      </c>
      <c r="C353" s="30">
        <f t="shared" si="22"/>
        <v>7.1357606678715015</v>
      </c>
      <c r="D353" s="27">
        <f t="shared" si="24"/>
        <v>40158</v>
      </c>
      <c r="E353" s="27"/>
      <c r="F353" s="27"/>
      <c r="G353" s="27"/>
    </row>
    <row r="354" spans="1:7" s="10" customFormat="1" ht="10.199999999999999" x14ac:dyDescent="0.35">
      <c r="A354" s="10">
        <f t="shared" si="23"/>
        <v>346</v>
      </c>
      <c r="B354" s="30">
        <f t="shared" si="21"/>
        <v>-0.40179776249110266</v>
      </c>
      <c r="C354" s="30">
        <f t="shared" si="22"/>
        <v>7.1113927335755101</v>
      </c>
      <c r="D354" s="27">
        <f t="shared" si="24"/>
        <v>40159</v>
      </c>
      <c r="E354" s="27"/>
      <c r="F354" s="27"/>
      <c r="G354" s="27"/>
    </row>
    <row r="355" spans="1:7" s="10" customFormat="1" ht="10.199999999999999" x14ac:dyDescent="0.35">
      <c r="A355" s="10">
        <f t="shared" si="23"/>
        <v>347</v>
      </c>
      <c r="B355" s="30">
        <f t="shared" si="21"/>
        <v>-0.40315103553623288</v>
      </c>
      <c r="C355" s="30">
        <f t="shared" si="22"/>
        <v>7.0891213819277539</v>
      </c>
      <c r="D355" s="27">
        <f t="shared" si="24"/>
        <v>40160</v>
      </c>
      <c r="E355" s="27"/>
      <c r="F355" s="27"/>
      <c r="G355" s="27"/>
    </row>
    <row r="356" spans="1:7" s="10" customFormat="1" ht="10.199999999999999" x14ac:dyDescent="0.35">
      <c r="A356" s="10">
        <f t="shared" si="23"/>
        <v>348</v>
      </c>
      <c r="B356" s="30">
        <f t="shared" si="21"/>
        <v>-0.40437103514126194</v>
      </c>
      <c r="C356" s="30">
        <f t="shared" si="22"/>
        <v>7.0689799158953939</v>
      </c>
      <c r="D356" s="27">
        <f t="shared" si="24"/>
        <v>40161</v>
      </c>
      <c r="E356" s="27"/>
      <c r="F356" s="27"/>
      <c r="G356" s="27"/>
    </row>
    <row r="357" spans="1:7" s="10" customFormat="1" ht="10.199999999999999" x14ac:dyDescent="0.35">
      <c r="A357" s="10">
        <f t="shared" si="23"/>
        <v>349</v>
      </c>
      <c r="B357" s="30">
        <f t="shared" si="21"/>
        <v>-0.40545707348891064</v>
      </c>
      <c r="C357" s="30">
        <f t="shared" si="22"/>
        <v>7.0509989574428005</v>
      </c>
      <c r="D357" s="27">
        <f t="shared" si="24"/>
        <v>40162</v>
      </c>
      <c r="E357" s="27"/>
      <c r="F357" s="27"/>
      <c r="G357" s="27"/>
    </row>
    <row r="358" spans="1:7" s="10" customFormat="1" ht="10.199999999999999" x14ac:dyDescent="0.35">
      <c r="A358" s="10">
        <f t="shared" si="23"/>
        <v>350</v>
      </c>
      <c r="B358" s="30">
        <f t="shared" si="21"/>
        <v>-0.40640853042799968</v>
      </c>
      <c r="C358" s="30">
        <f t="shared" si="22"/>
        <v>7.035206280142809</v>
      </c>
      <c r="D358" s="27">
        <f t="shared" si="24"/>
        <v>40163</v>
      </c>
      <c r="E358" s="27"/>
      <c r="F358" s="27"/>
      <c r="G358" s="27"/>
    </row>
    <row r="359" spans="1:7" s="10" customFormat="1" ht="10.199999999999999" x14ac:dyDescent="0.35">
      <c r="A359" s="10">
        <f t="shared" si="23"/>
        <v>351</v>
      </c>
      <c r="B359" s="30">
        <f t="shared" si="21"/>
        <v>-0.40722485455547314</v>
      </c>
      <c r="C359" s="30">
        <f t="shared" si="22"/>
        <v>7.021626654187564</v>
      </c>
      <c r="D359" s="27">
        <f t="shared" si="24"/>
        <v>40164</v>
      </c>
      <c r="E359" s="27"/>
      <c r="F359" s="27"/>
      <c r="G359" s="27"/>
    </row>
    <row r="360" spans="1:7" s="10" customFormat="1" ht="10.199999999999999" x14ac:dyDescent="0.35">
      <c r="A360" s="10">
        <f t="shared" si="23"/>
        <v>352</v>
      </c>
      <c r="B360" s="30">
        <f t="shared" si="21"/>
        <v>-0.40790556418853269</v>
      </c>
      <c r="C360" s="30">
        <f t="shared" si="22"/>
        <v>7.010281705617853</v>
      </c>
      <c r="D360" s="27">
        <f t="shared" si="24"/>
        <v>40165</v>
      </c>
      <c r="E360" s="27"/>
      <c r="F360" s="27"/>
      <c r="G360" s="27"/>
    </row>
    <row r="361" spans="1:7" s="10" customFormat="1" ht="10.199999999999999" x14ac:dyDescent="0.35">
      <c r="A361" s="10">
        <f t="shared" si="23"/>
        <v>353</v>
      </c>
      <c r="B361" s="30">
        <f t="shared" si="21"/>
        <v>-0.40845024822266707</v>
      </c>
      <c r="C361" s="30">
        <f t="shared" si="22"/>
        <v>7.0011897914690806</v>
      </c>
      <c r="D361" s="27">
        <f t="shared" si="24"/>
        <v>40166</v>
      </c>
      <c r="E361" s="27"/>
      <c r="F361" s="27"/>
      <c r="G361" s="27"/>
    </row>
    <row r="362" spans="1:7" s="10" customFormat="1" ht="10.199999999999999" x14ac:dyDescent="0.35">
      <c r="A362" s="10">
        <f t="shared" si="23"/>
        <v>354</v>
      </c>
      <c r="B362" s="30">
        <f t="shared" si="21"/>
        <v>-0.40885856687182992</v>
      </c>
      <c r="C362" s="30">
        <f t="shared" si="22"/>
        <v>6.994365892376571</v>
      </c>
      <c r="D362" s="27">
        <f t="shared" si="24"/>
        <v>40167</v>
      </c>
      <c r="E362" s="27"/>
      <c r="F362" s="27"/>
      <c r="G362" s="27"/>
    </row>
    <row r="363" spans="1:7" s="10" customFormat="1" ht="10.199999999999999" x14ac:dyDescent="0.35">
      <c r="A363" s="10">
        <f t="shared" si="23"/>
        <v>355</v>
      </c>
      <c r="B363" s="30">
        <f t="shared" si="21"/>
        <v>-0.40913025228752969</v>
      </c>
      <c r="C363" s="30">
        <f t="shared" si="22"/>
        <v>6.9898215239933492</v>
      </c>
      <c r="D363" s="27">
        <f t="shared" si="24"/>
        <v>40168</v>
      </c>
      <c r="E363" s="27"/>
      <c r="F363" s="27"/>
      <c r="G363" s="27"/>
    </row>
    <row r="364" spans="1:7" s="10" customFormat="1" ht="10.199999999999999" x14ac:dyDescent="0.35">
      <c r="A364" s="10">
        <f t="shared" si="23"/>
        <v>356</v>
      </c>
      <c r="B364" s="30">
        <f t="shared" si="21"/>
        <v>-0.40926510905411478</v>
      </c>
      <c r="C364" s="30">
        <f t="shared" si="22"/>
        <v>6.987564668354814</v>
      </c>
      <c r="D364" s="27">
        <f t="shared" si="24"/>
        <v>40169</v>
      </c>
      <c r="E364" s="27"/>
      <c r="F364" s="27"/>
      <c r="G364" s="27"/>
    </row>
    <row r="365" spans="1:7" s="10" customFormat="1" ht="10.199999999999999" x14ac:dyDescent="0.35">
      <c r="A365" s="10">
        <f t="shared" si="23"/>
        <v>357</v>
      </c>
      <c r="B365" s="30">
        <f t="shared" si="21"/>
        <v>-0.40926301455809427</v>
      </c>
      <c r="C365" s="30">
        <f t="shared" si="22"/>
        <v>6.9875997260797043</v>
      </c>
      <c r="D365" s="27">
        <f t="shared" si="24"/>
        <v>40170</v>
      </c>
      <c r="E365" s="27"/>
      <c r="F365" s="27"/>
      <c r="G365" s="27"/>
    </row>
    <row r="366" spans="1:7" s="10" customFormat="1" ht="10.199999999999999" x14ac:dyDescent="0.35">
      <c r="A366" s="10">
        <f t="shared" si="23"/>
        <v>358</v>
      </c>
      <c r="B366" s="30">
        <f t="shared" si="21"/>
        <v>-0.40912391922989649</v>
      </c>
      <c r="C366" s="30">
        <f t="shared" si="22"/>
        <v>6.9899274900317963</v>
      </c>
      <c r="D366" s="27">
        <f t="shared" si="24"/>
        <v>40171</v>
      </c>
      <c r="E366" s="27"/>
      <c r="F366" s="27"/>
      <c r="G366" s="27"/>
    </row>
    <row r="367" spans="1:7" s="10" customFormat="1" ht="10.199999999999999" x14ac:dyDescent="0.35">
      <c r="A367" s="10">
        <f t="shared" si="23"/>
        <v>359</v>
      </c>
      <c r="B367" s="30">
        <f t="shared" si="21"/>
        <v>-0.40884784665705043</v>
      </c>
      <c r="C367" s="30">
        <f t="shared" si="22"/>
        <v>6.9945451407868084</v>
      </c>
      <c r="D367" s="27">
        <f t="shared" si="24"/>
        <v>40172</v>
      </c>
      <c r="E367" s="27"/>
      <c r="F367" s="27"/>
      <c r="G367" s="27"/>
    </row>
    <row r="368" spans="1:7" s="10" customFormat="1" ht="10.199999999999999" x14ac:dyDescent="0.35">
      <c r="A368" s="10">
        <f t="shared" si="23"/>
        <v>360</v>
      </c>
      <c r="B368" s="30">
        <f t="shared" si="21"/>
        <v>-0.40843489356836254</v>
      </c>
      <c r="C368" s="30">
        <f t="shared" si="22"/>
        <v>7.0014462639613626</v>
      </c>
      <c r="D368" s="27">
        <f t="shared" si="24"/>
        <v>40173</v>
      </c>
      <c r="E368" s="27"/>
      <c r="F368" s="27"/>
      <c r="G368" s="27"/>
    </row>
    <row r="369" spans="1:8" s="10" customFormat="1" ht="10.199999999999999" x14ac:dyDescent="0.35">
      <c r="A369" s="10">
        <f t="shared" si="23"/>
        <v>361</v>
      </c>
      <c r="B369" s="30">
        <f t="shared" si="21"/>
        <v>-0.40788522968924845</v>
      </c>
      <c r="C369" s="30">
        <f t="shared" si="22"/>
        <v>7.0106208891718431</v>
      </c>
      <c r="D369" s="27">
        <f t="shared" si="24"/>
        <v>40174</v>
      </c>
      <c r="E369" s="27"/>
      <c r="F369" s="27"/>
      <c r="G369" s="27"/>
    </row>
    <row r="370" spans="1:8" s="10" customFormat="1" ht="10.199999999999999" x14ac:dyDescent="0.35">
      <c r="A370" s="10">
        <f t="shared" si="23"/>
        <v>362</v>
      </c>
      <c r="B370" s="30">
        <f t="shared" si="21"/>
        <v>-0.40719909746897576</v>
      </c>
      <c r="C370" s="30">
        <f t="shared" si="22"/>
        <v>7.0220555501073143</v>
      </c>
      <c r="D370" s="27">
        <f t="shared" si="24"/>
        <v>40175</v>
      </c>
      <c r="E370" s="27"/>
      <c r="F370" s="27"/>
      <c r="G370" s="27"/>
    </row>
    <row r="371" spans="1:8" s="10" customFormat="1" ht="10.199999999999999" x14ac:dyDescent="0.35">
      <c r="A371" s="10">
        <f t="shared" si="23"/>
        <v>363</v>
      </c>
      <c r="B371" s="30">
        <f t="shared" si="21"/>
        <v>-0.40637681168115009</v>
      </c>
      <c r="C371" s="30">
        <f t="shared" si="22"/>
        <v>7.0357333649294453</v>
      </c>
      <c r="D371" s="27">
        <f t="shared" si="24"/>
        <v>40176</v>
      </c>
      <c r="E371" s="27"/>
      <c r="F371" s="27"/>
      <c r="G371" s="27"/>
    </row>
    <row r="372" spans="1:8" s="10" customFormat="1" ht="10.199999999999999" x14ac:dyDescent="0.35">
      <c r="A372" s="10">
        <f t="shared" si="23"/>
        <v>364</v>
      </c>
      <c r="B372" s="30">
        <f t="shared" si="21"/>
        <v>-0.40541875889935131</v>
      </c>
      <c r="C372" s="30">
        <f t="shared" si="22"/>
        <v>7.0516341359593326</v>
      </c>
      <c r="D372" s="27">
        <f t="shared" si="24"/>
        <v>40177</v>
      </c>
      <c r="E372" s="27"/>
      <c r="F372" s="27"/>
      <c r="G372" s="27"/>
    </row>
    <row r="373" spans="1:8" s="10" customFormat="1" ht="10.199999999999999" x14ac:dyDescent="0.35">
      <c r="A373" s="10">
        <f t="shared" si="23"/>
        <v>365</v>
      </c>
      <c r="B373" s="30">
        <f t="shared" si="21"/>
        <v>-0.40432539685038332</v>
      </c>
      <c r="C373" s="30">
        <f t="shared" si="22"/>
        <v>7.0697344673816538</v>
      </c>
      <c r="D373" s="27">
        <f t="shared" si="24"/>
        <v>40178</v>
      </c>
      <c r="E373" s="27"/>
      <c r="F373" s="27"/>
      <c r="G373" s="27"/>
    </row>
    <row r="374" spans="1:8" s="10" customFormat="1" ht="10.199999999999999" x14ac:dyDescent="0.35">
      <c r="D374" s="27"/>
      <c r="E374" s="27"/>
      <c r="F374" s="27"/>
      <c r="G374" s="27"/>
    </row>
    <row r="375" spans="1:8" s="10" customFormat="1" ht="10.199999999999999" x14ac:dyDescent="0.35">
      <c r="C375" s="30">
        <f>SUM(C9:C373)</f>
        <v>4496.9251179426565</v>
      </c>
      <c r="D375" s="29">
        <f>SUM(C252:C373,C9:C98)</f>
        <v>2053.50457720039</v>
      </c>
      <c r="E375" s="18"/>
      <c r="F375" s="18"/>
      <c r="G375" s="18"/>
      <c r="H375" s="30">
        <f>SUM(C99:C251)</f>
        <v>2443.4205407422692</v>
      </c>
    </row>
    <row r="376" spans="1:8" s="10" customFormat="1" ht="10.199999999999999" x14ac:dyDescent="0.35">
      <c r="C376" s="28" t="s">
        <v>69</v>
      </c>
      <c r="D376" s="31" t="s">
        <v>70</v>
      </c>
      <c r="E376" s="27"/>
      <c r="F376" s="27"/>
      <c r="G376" s="27"/>
      <c r="H376" s="28" t="s">
        <v>71</v>
      </c>
    </row>
  </sheetData>
  <sheetProtection sheet="1" objects="1" scenarios="1"/>
  <phoneticPr fontId="0" type="noConversion"/>
  <pageMargins left="0.75" right="0.75" top="1" bottom="1" header="0.5" footer="0.5"/>
  <pageSetup paperSize="9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8"/>
  <sheetViews>
    <sheetView zoomScale="75" zoomScaleNormal="75" workbookViewId="0">
      <selection activeCell="C18" sqref="C18"/>
    </sheetView>
  </sheetViews>
  <sheetFormatPr defaultRowHeight="12.3" x14ac:dyDescent="0.4"/>
  <cols>
    <col min="1" max="1" width="49.27734375" customWidth="1"/>
    <col min="2" max="2" width="12.5546875" bestFit="1" customWidth="1"/>
    <col min="3" max="5" width="9.83203125" bestFit="1" customWidth="1"/>
  </cols>
  <sheetData>
    <row r="1" spans="1:10" x14ac:dyDescent="0.4">
      <c r="A1" s="1" t="s">
        <v>149</v>
      </c>
    </row>
    <row r="2" spans="1:10" x14ac:dyDescent="0.4">
      <c r="A2" s="1" t="s">
        <v>108</v>
      </c>
    </row>
    <row r="3" spans="1:10" x14ac:dyDescent="0.4">
      <c r="A3" s="1"/>
    </row>
    <row r="4" spans="1:10" x14ac:dyDescent="0.4">
      <c r="A4" t="s">
        <v>134</v>
      </c>
    </row>
    <row r="5" spans="1:10" x14ac:dyDescent="0.4">
      <c r="A5" t="s">
        <v>139</v>
      </c>
      <c r="I5" s="37"/>
      <c r="J5" t="s">
        <v>109</v>
      </c>
    </row>
    <row r="6" spans="1:10" x14ac:dyDescent="0.4">
      <c r="I6" s="38"/>
      <c r="J6" t="s">
        <v>136</v>
      </c>
    </row>
    <row r="7" spans="1:10" x14ac:dyDescent="0.4">
      <c r="A7" t="s">
        <v>18</v>
      </c>
      <c r="B7" s="37">
        <f>'Input data'!C26</f>
        <v>200</v>
      </c>
      <c r="D7" t="s">
        <v>111</v>
      </c>
      <c r="G7" s="131"/>
      <c r="I7" s="52"/>
      <c r="J7" t="s">
        <v>135</v>
      </c>
    </row>
    <row r="8" spans="1:10" ht="12.6" x14ac:dyDescent="0.45">
      <c r="A8" t="s">
        <v>19</v>
      </c>
      <c r="B8" s="37">
        <f>'Input data'!C35</f>
        <v>57.5</v>
      </c>
      <c r="D8" s="77" t="s">
        <v>106</v>
      </c>
      <c r="I8" s="56"/>
      <c r="J8" t="s">
        <v>138</v>
      </c>
    </row>
    <row r="9" spans="1:10" x14ac:dyDescent="0.4">
      <c r="A9" t="s">
        <v>98</v>
      </c>
      <c r="B9" s="37">
        <f>'Input data'!C27</f>
        <v>7.8</v>
      </c>
      <c r="D9" t="s">
        <v>107</v>
      </c>
      <c r="G9" s="76" t="str">
        <f>IF(G7="","",B7/G7)</f>
        <v/>
      </c>
      <c r="I9" s="76"/>
      <c r="J9" t="s">
        <v>110</v>
      </c>
    </row>
    <row r="10" spans="1:10" x14ac:dyDescent="0.4">
      <c r="A10" t="s">
        <v>105</v>
      </c>
      <c r="B10" s="105">
        <f>'Overall collision risk'!R16</f>
        <v>0.76316666666666666</v>
      </c>
    </row>
    <row r="11" spans="1:10" x14ac:dyDescent="0.4">
      <c r="A11" t="s">
        <v>99</v>
      </c>
      <c r="B11" s="106">
        <f>'Single transit collision risk'!I39</f>
        <v>7.5926348934317878E-2</v>
      </c>
    </row>
    <row r="12" spans="1:10" x14ac:dyDescent="0.4">
      <c r="A12" t="s">
        <v>133</v>
      </c>
      <c r="B12" s="50">
        <f>IF(G7="",B7^0.5,G7)</f>
        <v>14.142135623730951</v>
      </c>
    </row>
    <row r="13" spans="1:10" x14ac:dyDescent="0.4">
      <c r="B13" s="102"/>
    </row>
    <row r="14" spans="1:10" x14ac:dyDescent="0.4">
      <c r="A14" t="s">
        <v>100</v>
      </c>
      <c r="B14" s="103">
        <f>'Input data'!C42</f>
        <v>0.96</v>
      </c>
      <c r="C14" s="103">
        <f>'Input data'!C43</f>
        <v>0.98</v>
      </c>
      <c r="D14" s="103">
        <f>'Input data'!C44</f>
        <v>0.99</v>
      </c>
      <c r="E14" s="103">
        <f>'Input data'!C45</f>
        <v>0.995</v>
      </c>
    </row>
    <row r="16" spans="1:10" x14ac:dyDescent="0.4">
      <c r="A16" t="s">
        <v>137</v>
      </c>
      <c r="B16" s="57">
        <f>$B7*(PI()*$B8*$B8)/(2*$B8*$B9*1000)*$B11*$B10*(1-B14)</f>
        <v>5.3677838044770979E-3</v>
      </c>
      <c r="C16" s="57">
        <f>$B7*(PI()*$B8*$B8)/(2*$B8*$B9*1000)*$B11*$B10*(1-C14)</f>
        <v>2.6838919022385489E-3</v>
      </c>
      <c r="D16" s="57">
        <f>$B7*(PI()*$B8*$B8)/(2*$B8*$B9*1000)*$B11*$B10*(1-D14)</f>
        <v>1.3419459511192745E-3</v>
      </c>
      <c r="E16" s="57">
        <f>$B7*(PI()*$B8*$B8)/(2*$B8*$B9*1000)*$B11*$B10*(1-E14)</f>
        <v>6.7097297555963724E-4</v>
      </c>
    </row>
    <row r="17" spans="1:5" x14ac:dyDescent="0.4">
      <c r="A17" s="74"/>
    </row>
    <row r="18" spans="1:5" x14ac:dyDescent="0.4">
      <c r="A18" t="s">
        <v>97</v>
      </c>
      <c r="B18" s="104">
        <f>1-($B12-1)/(2*$B12)*B16 + ($B12-1)*($B12-2)/(6*$B12*$B12)*(B16*B16)</f>
        <v>0.99750971942280797</v>
      </c>
      <c r="C18" s="104">
        <f>1-($B12-1)/(2*$B12)*C16 + ($B12-1)*($B12-2)/(6*$B12*$B12)*(C16*C16)</f>
        <v>0.9987539018342434</v>
      </c>
      <c r="D18" s="104">
        <f>1-($B12-1)/(2*$B12)*D16 + ($B12-1)*($B12-2)/(6*$B12*$B12)*(D16*D16)</f>
        <v>0.99937671144783169</v>
      </c>
      <c r="E18" s="104">
        <f>1-($B12-1)/(2*$B12)*E16 + ($B12-1)*($B12-2)/(6*$B12*$B12)*(E16*E16)</f>
        <v>0.99968829585659325</v>
      </c>
    </row>
  </sheetData>
  <sheetProtection sheet="1" objects="1" scenarios="1"/>
  <phoneticPr fontId="0" type="noConversion"/>
  <pageMargins left="0.75" right="0.75" top="1" bottom="1" header="0.5" footer="0.5"/>
  <pageSetup paperSize="9" scale="8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2.3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Input data</vt:lpstr>
      <vt:lpstr>Overall collision risk</vt:lpstr>
      <vt:lpstr>Single transit collision risk</vt:lpstr>
      <vt:lpstr>Extended</vt:lpstr>
      <vt:lpstr>Flightheight</vt:lpstr>
      <vt:lpstr>Daylight and night hours</vt:lpstr>
      <vt:lpstr>Large array correction</vt:lpstr>
      <vt:lpstr>Sheet1</vt:lpstr>
      <vt:lpstr>banddown</vt:lpstr>
      <vt:lpstr>bandup</vt:lpstr>
      <vt:lpstr>birdlength</vt:lpstr>
      <vt:lpstr>Extended!blades</vt:lpstr>
      <vt:lpstr>chord</vt:lpstr>
      <vt:lpstr>Extended!coverC</vt:lpstr>
      <vt:lpstr>flight_type</vt:lpstr>
      <vt:lpstr>flightheightdata</vt:lpstr>
      <vt:lpstr>hubheight</vt:lpstr>
      <vt:lpstr>Npoints</vt:lpstr>
      <vt:lpstr>offset</vt:lpstr>
      <vt:lpstr>omega</vt:lpstr>
      <vt:lpstr>output_option</vt:lpstr>
      <vt:lpstr>pitch</vt:lpstr>
      <vt:lpstr>radius</vt:lpstr>
      <vt:lpstr>speed</vt:lpstr>
      <vt:lpstr>wingspan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Collision risk assessment</dc:title>
  <dc:subject>Assessing bird collision risk in windfarms</dc:subject>
  <dc:creator>Bill Band</dc:creator>
  <cp:keywords>windfarm; collsion risk; birds</cp:keywords>
  <dc:description>to accompany guidance on assessing bird collision risks for offshore windfarms.
Crown Estate Commission contract SOSS2
v1.1 21/11/2011 corrects for lack of connection between input data on nocturnal activity</dc:description>
  <cp:lastModifiedBy>Carl Donovan</cp:lastModifiedBy>
  <cp:lastPrinted>2012-02-17T20:00:49Z</cp:lastPrinted>
  <dcterms:created xsi:type="dcterms:W3CDTF">2011-04-22T16:39:34Z</dcterms:created>
  <dcterms:modified xsi:type="dcterms:W3CDTF">2019-12-13T17:57:40Z</dcterms:modified>
</cp:coreProperties>
</file>